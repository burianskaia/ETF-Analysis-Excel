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inda\Desktop\мага\Asset Management\group project\"/>
    </mc:Choice>
  </mc:AlternateContent>
  <xr:revisionPtr revIDLastSave="0" documentId="13_ncr:1_{D0353BED-904E-425A-9155-36ED3CBC124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TF Data" sheetId="1" r:id="rId1"/>
    <sheet name="Metric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2" l="1"/>
  <c r="I3" i="2"/>
  <c r="F5" i="2"/>
  <c r="F4" i="2"/>
  <c r="C16" i="2"/>
  <c r="C10" i="2"/>
  <c r="C5" i="2"/>
  <c r="C13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3" i="1"/>
  <c r="C15" i="2"/>
  <c r="C8" i="2"/>
  <c r="C9" i="2" s="1"/>
  <c r="C3" i="2"/>
  <c r="C4" i="2" s="1"/>
  <c r="F3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3" i="1"/>
  <c r="C14" i="2" l="1"/>
  <c r="F6" i="2"/>
</calcChain>
</file>

<file path=xl/sharedStrings.xml><?xml version="1.0" encoding="utf-8"?>
<sst xmlns="http://schemas.openxmlformats.org/spreadsheetml/2006/main" count="28" uniqueCount="23">
  <si>
    <t>VGT Close</t>
  </si>
  <si>
    <t>Date</t>
  </si>
  <si>
    <t>VGT</t>
  </si>
  <si>
    <t>IXIC Close</t>
  </si>
  <si>
    <t>Average Return</t>
  </si>
  <si>
    <t>Expected Return</t>
  </si>
  <si>
    <t>St. Dev.</t>
  </si>
  <si>
    <t>Covariance</t>
  </si>
  <si>
    <t>IXIC</t>
  </si>
  <si>
    <t>IXIC Daily Return</t>
  </si>
  <si>
    <t>VGT Daily Return</t>
  </si>
  <si>
    <t>Historical Beta</t>
  </si>
  <si>
    <t>Risk-free Rate</t>
  </si>
  <si>
    <t>Estimated Rf rate (252 days)</t>
  </si>
  <si>
    <t>Days</t>
  </si>
  <si>
    <t>Sharpe Ratio</t>
  </si>
  <si>
    <t xml:space="preserve">Treynor Ratio </t>
  </si>
  <si>
    <t>Jensen's Alpha</t>
  </si>
  <si>
    <t xml:space="preserve">Anualised Average Return </t>
  </si>
  <si>
    <t>Tracking Error</t>
  </si>
  <si>
    <t>Correlation</t>
  </si>
  <si>
    <t>Active Return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</si>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</sst>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#,##0.00;\-#,##0.00;#,##0.00;&quot;--&quot;"/>
    <numFmt numFmtId="166" formatCode="0.000"/>
    <numFmt numFmtId="167" formatCode="_(* #,##0.000_);_(* \(#,##0.0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charset val="204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Border="0" applyAlignment="0"/>
  </cellStyleXfs>
  <cellXfs count="42">
    <xf numFmtId="0" fontId="0" fillId="0" borderId="0" xfId="0"/>
    <xf numFmtId="0" fontId="6" fillId="2" borderId="1" xfId="0" applyFont="1" applyFill="1" applyBorder="1" applyAlignment="1">
      <alignment horizontal="right" wrapText="1"/>
    </xf>
    <xf numFmtId="0" fontId="6" fillId="2" borderId="1" xfId="2" applyFont="1" applyFill="1" applyBorder="1" applyAlignment="1">
      <alignment horizontal="right" wrapText="1"/>
    </xf>
    <xf numFmtId="14" fontId="7" fillId="0" borderId="1" xfId="0" applyNumberFormat="1" applyFont="1" applyBorder="1"/>
    <xf numFmtId="165" fontId="7" fillId="0" borderId="1" xfId="0" applyNumberFormat="1" applyFont="1" applyBorder="1"/>
    <xf numFmtId="165" fontId="7" fillId="0" borderId="1" xfId="2" applyNumberFormat="1" applyFont="1" applyBorder="1"/>
    <xf numFmtId="0" fontId="8" fillId="3" borderId="1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9" fillId="0" borderId="1" xfId="0" applyFont="1" applyBorder="1"/>
    <xf numFmtId="0" fontId="9" fillId="0" borderId="0" xfId="0" applyFont="1"/>
    <xf numFmtId="10" fontId="9" fillId="0" borderId="1" xfId="1" applyNumberFormat="1" applyFont="1" applyBorder="1"/>
    <xf numFmtId="0" fontId="8" fillId="0" borderId="1" xfId="0" applyFont="1" applyBorder="1" applyAlignment="1">
      <alignment wrapText="1"/>
    </xf>
    <xf numFmtId="10" fontId="9" fillId="3" borderId="1" xfId="0" applyNumberFormat="1" applyFont="1" applyFill="1" applyBorder="1"/>
    <xf numFmtId="0" fontId="8" fillId="5" borderId="1" xfId="0" applyFont="1" applyFill="1" applyBorder="1" applyAlignment="1">
      <alignment wrapText="1"/>
    </xf>
    <xf numFmtId="10" fontId="9" fillId="3" borderId="1" xfId="0" applyNumberFormat="1" applyFont="1" applyFill="1" applyBorder="1" applyAlignment="1">
      <alignment wrapText="1"/>
    </xf>
    <xf numFmtId="10" fontId="9" fillId="5" borderId="1" xfId="0" applyNumberFormat="1" applyFont="1" applyFill="1" applyBorder="1" applyAlignment="1">
      <alignment wrapText="1"/>
    </xf>
    <xf numFmtId="10" fontId="9" fillId="3" borderId="1" xfId="1" applyNumberFormat="1" applyFont="1" applyFill="1" applyBorder="1" applyAlignment="1">
      <alignment wrapText="1"/>
    </xf>
    <xf numFmtId="0" fontId="5" fillId="0" borderId="1" xfId="0" applyNumberFormat="1" applyFont="1" applyFill="1" applyBorder="1" applyAlignment="1">
      <alignment wrapText="1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 wrapText="1"/>
    </xf>
    <xf numFmtId="164" fontId="3" fillId="0" borderId="0" xfId="0" applyNumberFormat="1" applyFont="1" applyFill="1" applyBorder="1"/>
    <xf numFmtId="0" fontId="2" fillId="0" borderId="1" xfId="0" applyNumberFormat="1" applyFont="1" applyFill="1" applyBorder="1" applyAlignment="1">
      <alignment wrapText="1"/>
    </xf>
    <xf numFmtId="165" fontId="3" fillId="0" borderId="0" xfId="0" applyNumberFormat="1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10" fontId="9" fillId="0" borderId="1" xfId="0" applyNumberFormat="1" applyFont="1" applyBorder="1"/>
    <xf numFmtId="2" fontId="9" fillId="3" borderId="1" xfId="0" applyNumberFormat="1" applyFont="1" applyFill="1" applyBorder="1"/>
    <xf numFmtId="0" fontId="9" fillId="0" borderId="0" xfId="0" applyFont="1" applyFill="1" applyBorder="1"/>
    <xf numFmtId="0" fontId="8" fillId="0" borderId="0" xfId="0" applyFont="1" applyFill="1" applyBorder="1" applyAlignment="1">
      <alignment horizontal="center" wrapText="1"/>
    </xf>
    <xf numFmtId="167" fontId="9" fillId="0" borderId="0" xfId="1" applyNumberFormat="1" applyFont="1" applyFill="1" applyBorder="1"/>
    <xf numFmtId="2" fontId="9" fillId="0" borderId="0" xfId="0" applyNumberFormat="1" applyFont="1" applyFill="1" applyBorder="1"/>
    <xf numFmtId="166" fontId="9" fillId="0" borderId="0" xfId="0" applyNumberFormat="1" applyFont="1" applyFill="1" applyBorder="1"/>
    <xf numFmtId="10" fontId="9" fillId="0" borderId="0" xfId="0" applyNumberFormat="1" applyFont="1" applyFill="1" applyBorder="1"/>
    <xf numFmtId="167" fontId="9" fillId="3" borderId="1" xfId="1" applyNumberFormat="1" applyFont="1" applyFill="1" applyBorder="1"/>
    <xf numFmtId="10" fontId="9" fillId="3" borderId="1" xfId="1" applyNumberFormat="1" applyFont="1" applyFill="1" applyBorder="1"/>
    <xf numFmtId="167" fontId="9" fillId="3" borderId="1" xfId="0" applyNumberFormat="1" applyFont="1" applyFill="1" applyBorder="1"/>
    <xf numFmtId="0" fontId="10" fillId="0" borderId="1" xfId="0" applyFont="1" applyBorder="1"/>
    <xf numFmtId="0" fontId="10" fillId="0" borderId="1" xfId="0" applyFont="1" applyFill="1" applyBorder="1"/>
    <xf numFmtId="0" fontId="8" fillId="0" borderId="1" xfId="0" applyFont="1" applyFill="1" applyBorder="1" applyAlignment="1">
      <alignment wrapText="1"/>
    </xf>
    <xf numFmtId="10" fontId="9" fillId="0" borderId="1" xfId="1" applyNumberFormat="1" applyFont="1" applyFill="1" applyBorder="1" applyAlignment="1">
      <alignment wrapText="1"/>
    </xf>
    <xf numFmtId="0" fontId="10" fillId="0" borderId="1" xfId="0" applyFont="1" applyFill="1" applyBorder="1" applyAlignment="1">
      <alignment wrapText="1"/>
    </xf>
    <xf numFmtId="166" fontId="9" fillId="3" borderId="1" xfId="0" applyNumberFormat="1" applyFont="1" applyFill="1" applyBorder="1" applyAlignment="1">
      <alignment wrapText="1"/>
    </xf>
    <xf numFmtId="0" fontId="8" fillId="4" borderId="1" xfId="0" applyFont="1" applyFill="1" applyBorder="1" applyAlignment="1">
      <alignment horizontal="center" wrapText="1"/>
    </xf>
  </cellXfs>
  <cellStyles count="3">
    <cellStyle name="Обычный" xfId="0" builtinId="0"/>
    <cellStyle name="Обычный 2" xfId="2" xr:uid="{C1C81A91-E0D0-4213-A8ED-B2EAC39B9855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253"/>
  <sheetViews>
    <sheetView workbookViewId="0">
      <selection activeCell="H13" sqref="H13"/>
    </sheetView>
  </sheetViews>
  <sheetFormatPr defaultRowHeight="13" x14ac:dyDescent="0.3"/>
  <cols>
    <col min="1" max="1" width="10.6328125" style="9" customWidth="1"/>
    <col min="2" max="2" width="8.7265625" style="9"/>
    <col min="3" max="3" width="14.7265625" style="9" customWidth="1"/>
    <col min="4" max="4" width="9.453125" style="9" customWidth="1"/>
    <col min="5" max="5" width="14.08984375" style="9" customWidth="1"/>
    <col min="6" max="6" width="11" style="9" customWidth="1"/>
    <col min="7" max="16384" width="8.7265625" style="9"/>
  </cols>
  <sheetData>
    <row r="1" spans="1:6" s="7" customFormat="1" ht="19" customHeight="1" x14ac:dyDescent="0.3">
      <c r="A1" s="1" t="s">
        <v>1</v>
      </c>
      <c r="B1" s="1" t="s">
        <v>0</v>
      </c>
      <c r="C1" s="6" t="s">
        <v>10</v>
      </c>
      <c r="D1" s="2" t="s">
        <v>3</v>
      </c>
      <c r="E1" s="6" t="s">
        <v>9</v>
      </c>
      <c r="F1" s="23" t="s">
        <v>21</v>
      </c>
    </row>
    <row r="2" spans="1:6" x14ac:dyDescent="0.3">
      <c r="A2" s="3">
        <v>45777</v>
      </c>
      <c r="B2" s="4">
        <v>68.681250000000006</v>
      </c>
      <c r="C2" s="8"/>
      <c r="D2" s="5">
        <v>17446.342000000001</v>
      </c>
      <c r="E2" s="8"/>
      <c r="F2" s="8"/>
    </row>
    <row r="3" spans="1:6" x14ac:dyDescent="0.3">
      <c r="A3" s="3">
        <v>45778</v>
      </c>
      <c r="B3" s="4">
        <v>69.893749999999997</v>
      </c>
      <c r="C3" s="10">
        <f>(B3-B2)/B2</f>
        <v>1.7654017654017529E-2</v>
      </c>
      <c r="D3" s="5">
        <v>17710.739000000001</v>
      </c>
      <c r="E3" s="10">
        <f>(D3-D2)/D2</f>
        <v>1.5154867421491613E-2</v>
      </c>
      <c r="F3" s="24">
        <f>C3-E3</f>
        <v>2.4991502325259155E-3</v>
      </c>
    </row>
    <row r="4" spans="1:6" x14ac:dyDescent="0.3">
      <c r="A4" s="3">
        <v>45779</v>
      </c>
      <c r="B4" s="4">
        <v>70.942499999999995</v>
      </c>
      <c r="C4" s="10">
        <f t="shared" ref="C4:C67" si="0">(B4-B3)/B3</f>
        <v>1.5004918179379391E-2</v>
      </c>
      <c r="D4" s="5">
        <v>17977.727999999999</v>
      </c>
      <c r="E4" s="10">
        <f t="shared" ref="E4:E67" si="1">(D4-D3)/D3</f>
        <v>1.5074977955465198E-2</v>
      </c>
      <c r="F4" s="24">
        <f t="shared" ref="F4:F67" si="2">C4-E4</f>
        <v>-7.0059776085807518E-5</v>
      </c>
    </row>
    <row r="5" spans="1:6" x14ac:dyDescent="0.3">
      <c r="A5" s="3">
        <v>45782</v>
      </c>
      <c r="B5" s="4">
        <v>70.462500000000006</v>
      </c>
      <c r="C5" s="10">
        <f t="shared" si="0"/>
        <v>-6.7660429220846429E-3</v>
      </c>
      <c r="D5" s="5">
        <v>17844.241000000002</v>
      </c>
      <c r="E5" s="10">
        <f t="shared" si="1"/>
        <v>-7.425131807534153E-3</v>
      </c>
      <c r="F5" s="24">
        <f t="shared" si="2"/>
        <v>6.590888854495101E-4</v>
      </c>
    </row>
    <row r="6" spans="1:6" x14ac:dyDescent="0.3">
      <c r="A6" s="3">
        <v>45783</v>
      </c>
      <c r="B6" s="4">
        <v>69.866249999999994</v>
      </c>
      <c r="C6" s="10">
        <f t="shared" si="0"/>
        <v>-8.4619478445983592E-3</v>
      </c>
      <c r="D6" s="5">
        <v>17689.659</v>
      </c>
      <c r="E6" s="10">
        <f t="shared" si="1"/>
        <v>-8.6628509444588945E-3</v>
      </c>
      <c r="F6" s="24">
        <f t="shared" si="2"/>
        <v>2.0090309986053531E-4</v>
      </c>
    </row>
    <row r="7" spans="1:6" x14ac:dyDescent="0.3">
      <c r="A7" s="3">
        <v>45784</v>
      </c>
      <c r="B7" s="4">
        <v>70.563749999999999</v>
      </c>
      <c r="C7" s="10">
        <f t="shared" si="0"/>
        <v>9.9833610648919213E-3</v>
      </c>
      <c r="D7" s="5">
        <v>17738.162</v>
      </c>
      <c r="E7" s="10">
        <f t="shared" si="1"/>
        <v>2.7418843969802139E-3</v>
      </c>
      <c r="F7" s="24">
        <f t="shared" si="2"/>
        <v>7.241476667911707E-3</v>
      </c>
    </row>
    <row r="8" spans="1:6" x14ac:dyDescent="0.3">
      <c r="A8" s="3">
        <v>45785</v>
      </c>
      <c r="B8" s="4">
        <v>71.397499999999994</v>
      </c>
      <c r="C8" s="10">
        <f t="shared" si="0"/>
        <v>1.1815556854617206E-2</v>
      </c>
      <c r="D8" s="5">
        <v>17928.138999999999</v>
      </c>
      <c r="E8" s="10">
        <f t="shared" si="1"/>
        <v>1.0710072441552792E-2</v>
      </c>
      <c r="F8" s="24">
        <f t="shared" si="2"/>
        <v>1.1054844130644146E-3</v>
      </c>
    </row>
    <row r="9" spans="1:6" x14ac:dyDescent="0.3">
      <c r="A9" s="3">
        <v>45786</v>
      </c>
      <c r="B9" s="4">
        <v>71.400000000000006</v>
      </c>
      <c r="C9" s="10">
        <f t="shared" si="0"/>
        <v>3.5015231625924403E-5</v>
      </c>
      <c r="D9" s="5">
        <v>17928.916000000001</v>
      </c>
      <c r="E9" s="10">
        <f t="shared" si="1"/>
        <v>4.3339690751051335E-5</v>
      </c>
      <c r="F9" s="24">
        <f t="shared" si="2"/>
        <v>-8.3244591251269316E-6</v>
      </c>
    </row>
    <row r="10" spans="1:6" x14ac:dyDescent="0.3">
      <c r="A10" s="3">
        <v>45789</v>
      </c>
      <c r="B10" s="4">
        <v>74.773750000000007</v>
      </c>
      <c r="C10" s="10">
        <f t="shared" si="0"/>
        <v>4.7251400560224102E-2</v>
      </c>
      <c r="D10" s="5">
        <v>18708.344000000001</v>
      </c>
      <c r="E10" s="10">
        <f t="shared" si="1"/>
        <v>4.347323619565175E-2</v>
      </c>
      <c r="F10" s="24">
        <f t="shared" si="2"/>
        <v>3.778164364572352E-3</v>
      </c>
    </row>
    <row r="11" spans="1:6" x14ac:dyDescent="0.3">
      <c r="A11" s="3">
        <v>45790</v>
      </c>
      <c r="B11" s="4">
        <v>76.436250000000001</v>
      </c>
      <c r="C11" s="10">
        <f t="shared" si="0"/>
        <v>2.2233738444306914E-2</v>
      </c>
      <c r="D11" s="5">
        <v>19010.084999999999</v>
      </c>
      <c r="E11" s="10">
        <f t="shared" si="1"/>
        <v>1.6128685681640137E-2</v>
      </c>
      <c r="F11" s="24">
        <f t="shared" si="2"/>
        <v>6.1050527626667767E-3</v>
      </c>
    </row>
    <row r="12" spans="1:6" x14ac:dyDescent="0.3">
      <c r="A12" s="3">
        <v>45791</v>
      </c>
      <c r="B12" s="4">
        <v>76.978750000000005</v>
      </c>
      <c r="C12" s="10">
        <f t="shared" si="0"/>
        <v>7.0974177827929025E-3</v>
      </c>
      <c r="D12" s="5">
        <v>19146.809000000001</v>
      </c>
      <c r="E12" s="10">
        <f t="shared" si="1"/>
        <v>7.1921824652547315E-3</v>
      </c>
      <c r="F12" s="24">
        <f t="shared" si="2"/>
        <v>-9.4764682461829022E-5</v>
      </c>
    </row>
    <row r="13" spans="1:6" x14ac:dyDescent="0.3">
      <c r="A13" s="3">
        <v>45792</v>
      </c>
      <c r="B13" s="4">
        <v>76.943749999999994</v>
      </c>
      <c r="C13" s="10">
        <f t="shared" si="0"/>
        <v>-4.5467093191316823E-4</v>
      </c>
      <c r="D13" s="5">
        <v>19112.319</v>
      </c>
      <c r="E13" s="10">
        <f t="shared" si="1"/>
        <v>-1.8013445478043677E-3</v>
      </c>
      <c r="F13" s="24">
        <f t="shared" si="2"/>
        <v>1.3466736158911994E-3</v>
      </c>
    </row>
    <row r="14" spans="1:6" x14ac:dyDescent="0.3">
      <c r="A14" s="3">
        <v>45793</v>
      </c>
      <c r="B14" s="4">
        <v>77.088750000000005</v>
      </c>
      <c r="C14" s="10">
        <f t="shared" si="0"/>
        <v>1.8844935423606237E-3</v>
      </c>
      <c r="D14" s="5">
        <v>19211.101999999999</v>
      </c>
      <c r="E14" s="10">
        <f t="shared" si="1"/>
        <v>5.1685512365087383E-3</v>
      </c>
      <c r="F14" s="24">
        <f t="shared" si="2"/>
        <v>-3.2840576941481148E-3</v>
      </c>
    </row>
    <row r="15" spans="1:6" x14ac:dyDescent="0.3">
      <c r="A15" s="3">
        <v>45796</v>
      </c>
      <c r="B15" s="4">
        <v>76.885000000000005</v>
      </c>
      <c r="C15" s="10">
        <f t="shared" si="0"/>
        <v>-2.6430575148773255E-3</v>
      </c>
      <c r="D15" s="5">
        <v>19215.463</v>
      </c>
      <c r="E15" s="10">
        <f t="shared" si="1"/>
        <v>2.2700415624261357E-4</v>
      </c>
      <c r="F15" s="24">
        <f t="shared" si="2"/>
        <v>-2.8700616711199393E-3</v>
      </c>
    </row>
    <row r="16" spans="1:6" x14ac:dyDescent="0.3">
      <c r="A16" s="3">
        <v>45797</v>
      </c>
      <c r="B16" s="4">
        <v>76.614999999999995</v>
      </c>
      <c r="C16" s="10">
        <f t="shared" si="0"/>
        <v>-3.5117383104638126E-3</v>
      </c>
      <c r="D16" s="5">
        <v>19142.714</v>
      </c>
      <c r="E16" s="10">
        <f t="shared" si="1"/>
        <v>-3.7859613374915712E-3</v>
      </c>
      <c r="F16" s="24">
        <f t="shared" si="2"/>
        <v>2.7422302702775859E-4</v>
      </c>
    </row>
    <row r="17" spans="1:6" x14ac:dyDescent="0.3">
      <c r="A17" s="3">
        <v>45798</v>
      </c>
      <c r="B17" s="4">
        <v>75.147499999999994</v>
      </c>
      <c r="C17" s="10">
        <f t="shared" si="0"/>
        <v>-1.9154212621549323E-2</v>
      </c>
      <c r="D17" s="5">
        <v>18872.643</v>
      </c>
      <c r="E17" s="10">
        <f t="shared" si="1"/>
        <v>-1.4108292063497365E-2</v>
      </c>
      <c r="F17" s="24">
        <f t="shared" si="2"/>
        <v>-5.0459205580519577E-3</v>
      </c>
    </row>
    <row r="18" spans="1:6" x14ac:dyDescent="0.3">
      <c r="A18" s="3">
        <v>45799</v>
      </c>
      <c r="B18" s="4">
        <v>75.273750000000007</v>
      </c>
      <c r="C18" s="10">
        <f t="shared" si="0"/>
        <v>1.6800292757578508E-3</v>
      </c>
      <c r="D18" s="5">
        <v>18925.735000000001</v>
      </c>
      <c r="E18" s="10">
        <f t="shared" si="1"/>
        <v>2.8131724846382437E-3</v>
      </c>
      <c r="F18" s="24">
        <f t="shared" si="2"/>
        <v>-1.1331432088803929E-3</v>
      </c>
    </row>
    <row r="19" spans="1:6" x14ac:dyDescent="0.3">
      <c r="A19" s="3">
        <v>45800</v>
      </c>
      <c r="B19" s="4">
        <v>74.386250000000004</v>
      </c>
      <c r="C19" s="10">
        <f t="shared" si="0"/>
        <v>-1.1790298742921706E-2</v>
      </c>
      <c r="D19" s="5">
        <v>18737.206999999999</v>
      </c>
      <c r="E19" s="10">
        <f t="shared" si="1"/>
        <v>-9.9614625270829406E-3</v>
      </c>
      <c r="F19" s="24">
        <f t="shared" si="2"/>
        <v>-1.8288362158387656E-3</v>
      </c>
    </row>
    <row r="20" spans="1:6" x14ac:dyDescent="0.3">
      <c r="A20" s="3">
        <v>45804</v>
      </c>
      <c r="B20" s="4">
        <v>76.213750000000005</v>
      </c>
      <c r="C20" s="10">
        <f t="shared" si="0"/>
        <v>2.4567712446856783E-2</v>
      </c>
      <c r="D20" s="5">
        <v>19199.163</v>
      </c>
      <c r="E20" s="10">
        <f t="shared" si="1"/>
        <v>2.4654474917206282E-2</v>
      </c>
      <c r="F20" s="24">
        <f t="shared" si="2"/>
        <v>-8.6762470349499576E-5</v>
      </c>
    </row>
    <row r="21" spans="1:6" x14ac:dyDescent="0.3">
      <c r="A21" s="3">
        <v>45805</v>
      </c>
      <c r="B21" s="4">
        <v>75.868750000000006</v>
      </c>
      <c r="C21" s="10">
        <f t="shared" si="0"/>
        <v>-4.5267422217119459E-3</v>
      </c>
      <c r="D21" s="5">
        <v>19100.937999999998</v>
      </c>
      <c r="E21" s="10">
        <f t="shared" si="1"/>
        <v>-5.1161084470193923E-3</v>
      </c>
      <c r="F21" s="24">
        <f t="shared" si="2"/>
        <v>5.8936622530744633E-4</v>
      </c>
    </row>
    <row r="22" spans="1:6" x14ac:dyDescent="0.3">
      <c r="A22" s="3">
        <v>45806</v>
      </c>
      <c r="B22" s="4">
        <v>76.141249999999999</v>
      </c>
      <c r="C22" s="10">
        <f t="shared" si="0"/>
        <v>3.5917291374906496E-3</v>
      </c>
      <c r="D22" s="5">
        <v>19175.871999999999</v>
      </c>
      <c r="E22" s="10">
        <f t="shared" si="1"/>
        <v>3.9230534123508021E-3</v>
      </c>
      <c r="F22" s="24">
        <f t="shared" si="2"/>
        <v>-3.3132427486015246E-4</v>
      </c>
    </row>
    <row r="23" spans="1:6" x14ac:dyDescent="0.3">
      <c r="A23" s="3">
        <v>45807</v>
      </c>
      <c r="B23" s="4">
        <v>75.796250000000001</v>
      </c>
      <c r="C23" s="10">
        <f t="shared" si="0"/>
        <v>-4.5310524846912661E-3</v>
      </c>
      <c r="D23" s="5">
        <v>19113.767</v>
      </c>
      <c r="E23" s="10">
        <f t="shared" si="1"/>
        <v>-3.2387053897731258E-3</v>
      </c>
      <c r="F23" s="24">
        <f t="shared" si="2"/>
        <v>-1.2923470949181403E-3</v>
      </c>
    </row>
    <row r="24" spans="1:6" x14ac:dyDescent="0.3">
      <c r="A24" s="3">
        <v>45810</v>
      </c>
      <c r="B24" s="4">
        <v>76.484999999999999</v>
      </c>
      <c r="C24" s="10">
        <f t="shared" si="0"/>
        <v>9.0868611573791426E-3</v>
      </c>
      <c r="D24" s="5">
        <v>19242.613000000001</v>
      </c>
      <c r="E24" s="10">
        <f t="shared" si="1"/>
        <v>6.7410050567217527E-3</v>
      </c>
      <c r="F24" s="24">
        <f t="shared" si="2"/>
        <v>2.3458561006573899E-3</v>
      </c>
    </row>
    <row r="25" spans="1:6" x14ac:dyDescent="0.3">
      <c r="A25" s="3">
        <v>45811</v>
      </c>
      <c r="B25" s="4">
        <v>77.703749999999999</v>
      </c>
      <c r="C25" s="10">
        <f t="shared" si="0"/>
        <v>1.5934496960188272E-2</v>
      </c>
      <c r="D25" s="5">
        <v>19398.957999999999</v>
      </c>
      <c r="E25" s="10">
        <f t="shared" si="1"/>
        <v>8.1249360468870577E-3</v>
      </c>
      <c r="F25" s="24">
        <f t="shared" si="2"/>
        <v>7.8095609133012143E-3</v>
      </c>
    </row>
    <row r="26" spans="1:6" x14ac:dyDescent="0.3">
      <c r="A26" s="3">
        <v>45812</v>
      </c>
      <c r="B26" s="4">
        <v>77.913749999999993</v>
      </c>
      <c r="C26" s="10">
        <f t="shared" si="0"/>
        <v>2.7025722696780237E-3</v>
      </c>
      <c r="D26" s="5">
        <v>19460.489000000001</v>
      </c>
      <c r="E26" s="10">
        <f t="shared" si="1"/>
        <v>3.1718713963916349E-3</v>
      </c>
      <c r="F26" s="24">
        <f t="shared" si="2"/>
        <v>-4.6929912671361124E-4</v>
      </c>
    </row>
    <row r="27" spans="1:6" x14ac:dyDescent="0.3">
      <c r="A27" s="3">
        <v>45813</v>
      </c>
      <c r="B27" s="4">
        <v>77.564999999999998</v>
      </c>
      <c r="C27" s="10">
        <f t="shared" si="0"/>
        <v>-4.4761033835490592E-3</v>
      </c>
      <c r="D27" s="5">
        <v>19298.448</v>
      </c>
      <c r="E27" s="10">
        <f t="shared" si="1"/>
        <v>-8.3266664059675512E-3</v>
      </c>
      <c r="F27" s="24">
        <f t="shared" si="2"/>
        <v>3.850563022418492E-3</v>
      </c>
    </row>
    <row r="28" spans="1:6" x14ac:dyDescent="0.3">
      <c r="A28" s="3">
        <v>45814</v>
      </c>
      <c r="B28" s="4">
        <v>78.302499999999995</v>
      </c>
      <c r="C28" s="10">
        <f t="shared" si="0"/>
        <v>9.5081544511054876E-3</v>
      </c>
      <c r="D28" s="5">
        <v>19529.953000000001</v>
      </c>
      <c r="E28" s="10">
        <f t="shared" si="1"/>
        <v>1.1996042376050189E-2</v>
      </c>
      <c r="F28" s="24">
        <f t="shared" si="2"/>
        <v>-2.4878879249447018E-3</v>
      </c>
    </row>
    <row r="29" spans="1:6" x14ac:dyDescent="0.3">
      <c r="A29" s="3">
        <v>45817</v>
      </c>
      <c r="B29" s="4">
        <v>78.642499999999998</v>
      </c>
      <c r="C29" s="10">
        <f t="shared" si="0"/>
        <v>4.3421346700297367E-3</v>
      </c>
      <c r="D29" s="5">
        <v>19591.237000000001</v>
      </c>
      <c r="E29" s="10">
        <f t="shared" si="1"/>
        <v>3.1379491799084025E-3</v>
      </c>
      <c r="F29" s="24">
        <f t="shared" si="2"/>
        <v>1.2041854901213341E-3</v>
      </c>
    </row>
    <row r="30" spans="1:6" x14ac:dyDescent="0.3">
      <c r="A30" s="3">
        <v>45818</v>
      </c>
      <c r="B30" s="4">
        <v>78.971249999999998</v>
      </c>
      <c r="C30" s="10">
        <f t="shared" si="0"/>
        <v>4.1803096290173817E-3</v>
      </c>
      <c r="D30" s="5">
        <v>19714.989000000001</v>
      </c>
      <c r="E30" s="10">
        <f t="shared" si="1"/>
        <v>6.3167016967841487E-3</v>
      </c>
      <c r="F30" s="24">
        <f t="shared" si="2"/>
        <v>-2.136392067766767E-3</v>
      </c>
    </row>
    <row r="31" spans="1:6" x14ac:dyDescent="0.3">
      <c r="A31" s="3">
        <v>45819</v>
      </c>
      <c r="B31" s="4">
        <v>78.658749999999998</v>
      </c>
      <c r="C31" s="10">
        <f t="shared" si="0"/>
        <v>-3.9571362996027037E-3</v>
      </c>
      <c r="D31" s="5">
        <v>19615.876</v>
      </c>
      <c r="E31" s="10">
        <f t="shared" si="1"/>
        <v>-5.027291671326887E-3</v>
      </c>
      <c r="F31" s="24">
        <f t="shared" si="2"/>
        <v>1.0701553717241833E-3</v>
      </c>
    </row>
    <row r="32" spans="1:6" x14ac:dyDescent="0.3">
      <c r="A32" s="3">
        <v>45820</v>
      </c>
      <c r="B32" s="4">
        <v>79.223749999999995</v>
      </c>
      <c r="C32" s="10">
        <f t="shared" si="0"/>
        <v>7.1829262478744927E-3</v>
      </c>
      <c r="D32" s="5">
        <v>19662.485000000001</v>
      </c>
      <c r="E32" s="10">
        <f t="shared" si="1"/>
        <v>2.3760855747660915E-3</v>
      </c>
      <c r="F32" s="24">
        <f t="shared" si="2"/>
        <v>4.8068406731084012E-3</v>
      </c>
    </row>
    <row r="33" spans="1:6" x14ac:dyDescent="0.3">
      <c r="A33" s="3">
        <v>45821</v>
      </c>
      <c r="B33" s="4">
        <v>77.911249999999995</v>
      </c>
      <c r="C33" s="10">
        <f t="shared" si="0"/>
        <v>-1.6567001688256363E-2</v>
      </c>
      <c r="D33" s="5">
        <v>19406.826000000001</v>
      </c>
      <c r="E33" s="10">
        <f t="shared" si="1"/>
        <v>-1.3002374826986499E-2</v>
      </c>
      <c r="F33" s="24">
        <f t="shared" si="2"/>
        <v>-3.564626861269864E-3</v>
      </c>
    </row>
    <row r="34" spans="1:6" x14ac:dyDescent="0.3">
      <c r="A34" s="3">
        <v>45824</v>
      </c>
      <c r="B34" s="4">
        <v>79.231250000000003</v>
      </c>
      <c r="C34" s="10">
        <f t="shared" si="0"/>
        <v>1.6942354281313771E-2</v>
      </c>
      <c r="D34" s="5">
        <v>19701.213</v>
      </c>
      <c r="E34" s="10">
        <f t="shared" si="1"/>
        <v>1.5169250242157001E-2</v>
      </c>
      <c r="F34" s="24">
        <f t="shared" si="2"/>
        <v>1.7731040391567691E-3</v>
      </c>
    </row>
    <row r="35" spans="1:6" x14ac:dyDescent="0.3">
      <c r="A35" s="3">
        <v>45825</v>
      </c>
      <c r="B35" s="4">
        <v>78.648750000000007</v>
      </c>
      <c r="C35" s="10">
        <f t="shared" si="0"/>
        <v>-7.3518971365464508E-3</v>
      </c>
      <c r="D35" s="5">
        <v>19521.091</v>
      </c>
      <c r="E35" s="10">
        <f t="shared" si="1"/>
        <v>-9.142685782849989E-3</v>
      </c>
      <c r="F35" s="24">
        <f t="shared" si="2"/>
        <v>1.7907886463035382E-3</v>
      </c>
    </row>
    <row r="36" spans="1:6" x14ac:dyDescent="0.3">
      <c r="A36" s="3">
        <v>45826</v>
      </c>
      <c r="B36" s="4">
        <v>78.898750000000007</v>
      </c>
      <c r="C36" s="10">
        <f t="shared" si="0"/>
        <v>3.1786900618255213E-3</v>
      </c>
      <c r="D36" s="5">
        <v>19546.273000000001</v>
      </c>
      <c r="E36" s="10">
        <f t="shared" si="1"/>
        <v>1.2899893761061151E-3</v>
      </c>
      <c r="F36" s="24">
        <f t="shared" si="2"/>
        <v>1.8887006857194063E-3</v>
      </c>
    </row>
    <row r="37" spans="1:6" x14ac:dyDescent="0.3">
      <c r="A37" s="3">
        <v>45828</v>
      </c>
      <c r="B37" s="4">
        <v>78.56</v>
      </c>
      <c r="C37" s="10">
        <f t="shared" si="0"/>
        <v>-4.2934773998321209E-3</v>
      </c>
      <c r="D37" s="5">
        <v>19447.41</v>
      </c>
      <c r="E37" s="10">
        <f t="shared" si="1"/>
        <v>-5.0578951803242076E-3</v>
      </c>
      <c r="F37" s="24">
        <f t="shared" si="2"/>
        <v>7.6441778049208663E-4</v>
      </c>
    </row>
    <row r="38" spans="1:6" x14ac:dyDescent="0.3">
      <c r="A38" s="3">
        <v>45831</v>
      </c>
      <c r="B38" s="4">
        <v>79.393749999999997</v>
      </c>
      <c r="C38" s="10">
        <f t="shared" si="0"/>
        <v>1.0612907331975495E-2</v>
      </c>
      <c r="D38" s="5">
        <v>19630.974999999999</v>
      </c>
      <c r="E38" s="10">
        <f t="shared" si="1"/>
        <v>9.4390461249080817E-3</v>
      </c>
      <c r="F38" s="24">
        <f t="shared" si="2"/>
        <v>1.1738612070674136E-3</v>
      </c>
    </row>
    <row r="39" spans="1:6" x14ac:dyDescent="0.3">
      <c r="A39" s="3">
        <v>45832</v>
      </c>
      <c r="B39" s="4">
        <v>80.822500000000005</v>
      </c>
      <c r="C39" s="10">
        <f t="shared" si="0"/>
        <v>1.7995749035660969E-2</v>
      </c>
      <c r="D39" s="5">
        <v>19912.532999999999</v>
      </c>
      <c r="E39" s="10">
        <f t="shared" si="1"/>
        <v>1.4342537749653337E-2</v>
      </c>
      <c r="F39" s="24">
        <f t="shared" si="2"/>
        <v>3.6532112860076325E-3</v>
      </c>
    </row>
    <row r="40" spans="1:6" x14ac:dyDescent="0.3">
      <c r="A40" s="3">
        <v>45833</v>
      </c>
      <c r="B40" s="4">
        <v>81.502499999999998</v>
      </c>
      <c r="C40" s="10">
        <f t="shared" si="0"/>
        <v>8.4134987163227148E-3</v>
      </c>
      <c r="D40" s="5">
        <v>19973.552</v>
      </c>
      <c r="E40" s="10">
        <f t="shared" si="1"/>
        <v>3.0643514815518564E-3</v>
      </c>
      <c r="F40" s="24">
        <f t="shared" si="2"/>
        <v>5.3491472347708584E-3</v>
      </c>
    </row>
    <row r="41" spans="1:6" x14ac:dyDescent="0.3">
      <c r="A41" s="3">
        <v>45834</v>
      </c>
      <c r="B41" s="4">
        <v>82.116249999999994</v>
      </c>
      <c r="C41" s="10">
        <f t="shared" si="0"/>
        <v>7.5304438514155522E-3</v>
      </c>
      <c r="D41" s="5">
        <v>20167.913</v>
      </c>
      <c r="E41" s="10">
        <f t="shared" si="1"/>
        <v>9.7309181661829995E-3</v>
      </c>
      <c r="F41" s="24">
        <f t="shared" si="2"/>
        <v>-2.2004743147674474E-3</v>
      </c>
    </row>
    <row r="42" spans="1:6" x14ac:dyDescent="0.3">
      <c r="A42" s="3">
        <v>45835</v>
      </c>
      <c r="B42" s="4">
        <v>82.067499999999995</v>
      </c>
      <c r="C42" s="10">
        <f t="shared" si="0"/>
        <v>-5.9367055850697399E-4</v>
      </c>
      <c r="D42" s="5">
        <v>20273.458999999999</v>
      </c>
      <c r="E42" s="10">
        <f t="shared" si="1"/>
        <v>5.2333625199592268E-3</v>
      </c>
      <c r="F42" s="24">
        <f t="shared" si="2"/>
        <v>-5.8270330784662011E-3</v>
      </c>
    </row>
    <row r="43" spans="1:6" x14ac:dyDescent="0.3">
      <c r="A43" s="3">
        <v>45838</v>
      </c>
      <c r="B43" s="4">
        <v>82.91</v>
      </c>
      <c r="C43" s="10">
        <f t="shared" si="0"/>
        <v>1.0265939622871431E-2</v>
      </c>
      <c r="D43" s="5">
        <v>20369.733</v>
      </c>
      <c r="E43" s="10">
        <f t="shared" si="1"/>
        <v>4.7487703011114806E-3</v>
      </c>
      <c r="F43" s="24">
        <f t="shared" si="2"/>
        <v>5.5171693217599509E-3</v>
      </c>
    </row>
    <row r="44" spans="1:6" x14ac:dyDescent="0.3">
      <c r="A44" s="3">
        <v>45839</v>
      </c>
      <c r="B44" s="4">
        <v>82.055000000000007</v>
      </c>
      <c r="C44" s="10">
        <f t="shared" si="0"/>
        <v>-1.0312386925581833E-2</v>
      </c>
      <c r="D44" s="5">
        <v>20202.888999999999</v>
      </c>
      <c r="E44" s="10">
        <f t="shared" si="1"/>
        <v>-8.1907799184211677E-3</v>
      </c>
      <c r="F44" s="24">
        <f t="shared" si="2"/>
        <v>-2.1216070071606655E-3</v>
      </c>
    </row>
    <row r="45" spans="1:6" x14ac:dyDescent="0.3">
      <c r="A45" s="3">
        <v>45840</v>
      </c>
      <c r="B45" s="4">
        <v>83.096249999999998</v>
      </c>
      <c r="C45" s="10">
        <f t="shared" si="0"/>
        <v>1.2689659374809467E-2</v>
      </c>
      <c r="D45" s="5">
        <v>20393.13</v>
      </c>
      <c r="E45" s="10">
        <f t="shared" si="1"/>
        <v>9.4165245376540852E-3</v>
      </c>
      <c r="F45" s="24">
        <f t="shared" si="2"/>
        <v>3.2731348371553819E-3</v>
      </c>
    </row>
    <row r="46" spans="1:6" x14ac:dyDescent="0.3">
      <c r="A46" s="3">
        <v>45841</v>
      </c>
      <c r="B46" s="4">
        <v>84.252499999999998</v>
      </c>
      <c r="C46" s="10">
        <f t="shared" si="0"/>
        <v>1.3914587000015043E-2</v>
      </c>
      <c r="D46" s="5">
        <v>20601.100999999999</v>
      </c>
      <c r="E46" s="10">
        <f t="shared" si="1"/>
        <v>1.0198091219935229E-2</v>
      </c>
      <c r="F46" s="24">
        <f t="shared" si="2"/>
        <v>3.7164957800798135E-3</v>
      </c>
    </row>
    <row r="47" spans="1:6" x14ac:dyDescent="0.3">
      <c r="A47" s="3">
        <v>45845</v>
      </c>
      <c r="B47" s="4">
        <v>83.51</v>
      </c>
      <c r="C47" s="10">
        <f t="shared" si="0"/>
        <v>-8.8127948725556238E-3</v>
      </c>
      <c r="D47" s="5">
        <v>20412.514999999999</v>
      </c>
      <c r="E47" s="10">
        <f t="shared" si="1"/>
        <v>-9.1541709348446632E-3</v>
      </c>
      <c r="F47" s="24">
        <f t="shared" si="2"/>
        <v>3.4137606228903938E-4</v>
      </c>
    </row>
    <row r="48" spans="1:6" x14ac:dyDescent="0.3">
      <c r="A48" s="3">
        <v>45846</v>
      </c>
      <c r="B48" s="4">
        <v>83.903750000000002</v>
      </c>
      <c r="C48" s="10">
        <f t="shared" si="0"/>
        <v>4.715004191114802E-3</v>
      </c>
      <c r="D48" s="5">
        <v>20418.464</v>
      </c>
      <c r="E48" s="10">
        <f t="shared" si="1"/>
        <v>2.9143885503577215E-4</v>
      </c>
      <c r="F48" s="24">
        <f t="shared" si="2"/>
        <v>4.42356533607903E-3</v>
      </c>
    </row>
    <row r="49" spans="1:6" x14ac:dyDescent="0.3">
      <c r="A49" s="3">
        <v>45847</v>
      </c>
      <c r="B49" s="4">
        <v>84.606250000000003</v>
      </c>
      <c r="C49" s="10">
        <f t="shared" si="0"/>
        <v>8.3726889441771146E-3</v>
      </c>
      <c r="D49" s="5">
        <v>20611.338</v>
      </c>
      <c r="E49" s="10">
        <f t="shared" si="1"/>
        <v>9.4460582343510163E-3</v>
      </c>
      <c r="F49" s="24">
        <f t="shared" si="2"/>
        <v>-1.0733692901739016E-3</v>
      </c>
    </row>
    <row r="50" spans="1:6" x14ac:dyDescent="0.3">
      <c r="A50" s="3">
        <v>45848</v>
      </c>
      <c r="B50" s="4">
        <v>84.322500000000005</v>
      </c>
      <c r="C50" s="10">
        <f t="shared" si="0"/>
        <v>-3.3537711457486616E-3</v>
      </c>
      <c r="D50" s="5">
        <v>20630.665000000001</v>
      </c>
      <c r="E50" s="10">
        <f t="shared" si="1"/>
        <v>9.3768779105951952E-4</v>
      </c>
      <c r="F50" s="24">
        <f t="shared" si="2"/>
        <v>-4.2914589368081811E-3</v>
      </c>
    </row>
    <row r="51" spans="1:6" x14ac:dyDescent="0.3">
      <c r="A51" s="3">
        <v>45849</v>
      </c>
      <c r="B51" s="4">
        <v>83.791250000000005</v>
      </c>
      <c r="C51" s="10">
        <f t="shared" si="0"/>
        <v>-6.3002164309644516E-3</v>
      </c>
      <c r="D51" s="5">
        <v>20585.526999999998</v>
      </c>
      <c r="E51" s="10">
        <f t="shared" si="1"/>
        <v>-2.1879081454719298E-3</v>
      </c>
      <c r="F51" s="24">
        <f t="shared" si="2"/>
        <v>-4.1123082854925223E-3</v>
      </c>
    </row>
    <row r="52" spans="1:6" x14ac:dyDescent="0.3">
      <c r="A52" s="3">
        <v>45852</v>
      </c>
      <c r="B52" s="4">
        <v>83.795000000000002</v>
      </c>
      <c r="C52" s="10">
        <f t="shared" si="0"/>
        <v>4.4754076350413546E-5</v>
      </c>
      <c r="D52" s="5">
        <v>20640.327000000001</v>
      </c>
      <c r="E52" s="10">
        <f t="shared" si="1"/>
        <v>2.6620644688864618E-3</v>
      </c>
      <c r="F52" s="24">
        <f t="shared" si="2"/>
        <v>-2.6173103925360482E-3</v>
      </c>
    </row>
    <row r="53" spans="1:6" x14ac:dyDescent="0.3">
      <c r="A53" s="3">
        <v>45853</v>
      </c>
      <c r="B53" s="4">
        <v>84.506249999999994</v>
      </c>
      <c r="C53" s="10">
        <f t="shared" si="0"/>
        <v>8.487976609582823E-3</v>
      </c>
      <c r="D53" s="5">
        <v>20677.8</v>
      </c>
      <c r="E53" s="10">
        <f t="shared" si="1"/>
        <v>1.8155235621992877E-3</v>
      </c>
      <c r="F53" s="24">
        <f t="shared" si="2"/>
        <v>6.6724530473835355E-3</v>
      </c>
    </row>
    <row r="54" spans="1:6" x14ac:dyDescent="0.3">
      <c r="A54" s="3">
        <v>45854</v>
      </c>
      <c r="B54" s="4">
        <v>84.881249999999994</v>
      </c>
      <c r="C54" s="10">
        <f t="shared" si="0"/>
        <v>4.4375416019525188E-3</v>
      </c>
      <c r="D54" s="5">
        <v>20730.491000000002</v>
      </c>
      <c r="E54" s="10">
        <f t="shared" si="1"/>
        <v>2.5481917805570482E-3</v>
      </c>
      <c r="F54" s="24">
        <f t="shared" si="2"/>
        <v>1.8893498213954705E-3</v>
      </c>
    </row>
    <row r="55" spans="1:6" x14ac:dyDescent="0.3">
      <c r="A55" s="3">
        <v>45855</v>
      </c>
      <c r="B55" s="4">
        <v>85.74</v>
      </c>
      <c r="C55" s="10">
        <f t="shared" si="0"/>
        <v>1.0117075325822848E-2</v>
      </c>
      <c r="D55" s="5">
        <v>20885.649000000001</v>
      </c>
      <c r="E55" s="10">
        <f t="shared" si="1"/>
        <v>7.4845308777297861E-3</v>
      </c>
      <c r="F55" s="24">
        <f t="shared" si="2"/>
        <v>2.6325444480930615E-3</v>
      </c>
    </row>
    <row r="56" spans="1:6" x14ac:dyDescent="0.3">
      <c r="A56" s="3">
        <v>45856</v>
      </c>
      <c r="B56" s="4">
        <v>85.691249999999997</v>
      </c>
      <c r="C56" s="10">
        <f t="shared" si="0"/>
        <v>-5.6857942617212845E-4</v>
      </c>
      <c r="D56" s="5">
        <v>20895.654999999999</v>
      </c>
      <c r="E56" s="10">
        <f t="shared" si="1"/>
        <v>4.7908494488237277E-4</v>
      </c>
      <c r="F56" s="24">
        <f t="shared" si="2"/>
        <v>-1.0476643710545012E-3</v>
      </c>
    </row>
    <row r="57" spans="1:6" x14ac:dyDescent="0.3">
      <c r="A57" s="3">
        <v>45859</v>
      </c>
      <c r="B57" s="4">
        <v>85.811250000000001</v>
      </c>
      <c r="C57" s="10">
        <f t="shared" si="0"/>
        <v>1.4003763511444233E-3</v>
      </c>
      <c r="D57" s="5">
        <v>20974.174999999999</v>
      </c>
      <c r="E57" s="10">
        <f t="shared" si="1"/>
        <v>3.7577190090475956E-3</v>
      </c>
      <c r="F57" s="24">
        <f t="shared" si="2"/>
        <v>-2.3573426579031722E-3</v>
      </c>
    </row>
    <row r="58" spans="1:6" x14ac:dyDescent="0.3">
      <c r="A58" s="3">
        <v>45860</v>
      </c>
      <c r="B58" s="4">
        <v>84.973749999999995</v>
      </c>
      <c r="C58" s="10">
        <f t="shared" si="0"/>
        <v>-9.7597925679908607E-3</v>
      </c>
      <c r="D58" s="5">
        <v>20892.685000000001</v>
      </c>
      <c r="E58" s="10">
        <f t="shared" si="1"/>
        <v>-3.8852541279930184E-3</v>
      </c>
      <c r="F58" s="24">
        <f t="shared" si="2"/>
        <v>-5.8745384399978423E-3</v>
      </c>
    </row>
    <row r="59" spans="1:6" x14ac:dyDescent="0.3">
      <c r="A59" s="3">
        <v>45861</v>
      </c>
      <c r="B59" s="4">
        <v>85.648750000000007</v>
      </c>
      <c r="C59" s="10">
        <f t="shared" si="0"/>
        <v>7.943629650333326E-3</v>
      </c>
      <c r="D59" s="5">
        <v>21020.017</v>
      </c>
      <c r="E59" s="10">
        <f t="shared" si="1"/>
        <v>6.0945732920397021E-3</v>
      </c>
      <c r="F59" s="24">
        <f t="shared" si="2"/>
        <v>1.8490563582936239E-3</v>
      </c>
    </row>
    <row r="60" spans="1:6" x14ac:dyDescent="0.3">
      <c r="A60" s="3">
        <v>45862</v>
      </c>
      <c r="B60" s="4">
        <v>85.891249999999999</v>
      </c>
      <c r="C60" s="10">
        <f t="shared" si="0"/>
        <v>2.8313314555086047E-3</v>
      </c>
      <c r="D60" s="5">
        <v>21057.958999999999</v>
      </c>
      <c r="E60" s="10">
        <f t="shared" si="1"/>
        <v>1.805041356531686E-3</v>
      </c>
      <c r="F60" s="24">
        <f t="shared" si="2"/>
        <v>1.0262900989769187E-3</v>
      </c>
    </row>
    <row r="61" spans="1:6" x14ac:dyDescent="0.3">
      <c r="A61" s="3">
        <v>45863</v>
      </c>
      <c r="B61" s="4">
        <v>86.086250000000007</v>
      </c>
      <c r="C61" s="10">
        <f t="shared" si="0"/>
        <v>2.2703127501347039E-3</v>
      </c>
      <c r="D61" s="5">
        <v>21108.316999999999</v>
      </c>
      <c r="E61" s="10">
        <f t="shared" si="1"/>
        <v>2.3913998502893929E-3</v>
      </c>
      <c r="F61" s="24">
        <f t="shared" si="2"/>
        <v>-1.2108710015468899E-4</v>
      </c>
    </row>
    <row r="62" spans="1:6" x14ac:dyDescent="0.3">
      <c r="A62" s="3">
        <v>45866</v>
      </c>
      <c r="B62" s="4">
        <v>86.767499999999998</v>
      </c>
      <c r="C62" s="10">
        <f t="shared" si="0"/>
        <v>7.9135750482799676E-3</v>
      </c>
      <c r="D62" s="5">
        <v>21178.583999999999</v>
      </c>
      <c r="E62" s="10">
        <f t="shared" si="1"/>
        <v>3.3288774277930272E-3</v>
      </c>
      <c r="F62" s="24">
        <f t="shared" si="2"/>
        <v>4.58469762048694E-3</v>
      </c>
    </row>
    <row r="63" spans="1:6" x14ac:dyDescent="0.3">
      <c r="A63" s="3">
        <v>45867</v>
      </c>
      <c r="B63" s="4">
        <v>86.616249999999994</v>
      </c>
      <c r="C63" s="10">
        <f t="shared" si="0"/>
        <v>-1.7431642031867295E-3</v>
      </c>
      <c r="D63" s="5">
        <v>21098.291000000001</v>
      </c>
      <c r="E63" s="10">
        <f t="shared" si="1"/>
        <v>-3.7912355235835337E-3</v>
      </c>
      <c r="F63" s="24">
        <f t="shared" si="2"/>
        <v>2.048071320396804E-3</v>
      </c>
    </row>
    <row r="64" spans="1:6" x14ac:dyDescent="0.3">
      <c r="A64" s="3">
        <v>45868</v>
      </c>
      <c r="B64" s="4">
        <v>86.806250000000006</v>
      </c>
      <c r="C64" s="10">
        <f t="shared" si="0"/>
        <v>2.1935837674802584E-3</v>
      </c>
      <c r="D64" s="5">
        <v>21129.673999999999</v>
      </c>
      <c r="E64" s="10">
        <f t="shared" si="1"/>
        <v>1.4874664492966747E-3</v>
      </c>
      <c r="F64" s="24">
        <f t="shared" si="2"/>
        <v>7.0611731818358368E-4</v>
      </c>
    </row>
    <row r="65" spans="1:6" x14ac:dyDescent="0.3">
      <c r="A65" s="3">
        <v>45869</v>
      </c>
      <c r="B65" s="4">
        <v>86.308750000000003</v>
      </c>
      <c r="C65" s="10">
        <f t="shared" si="0"/>
        <v>-5.7311541507668196E-3</v>
      </c>
      <c r="D65" s="5">
        <v>21122.448</v>
      </c>
      <c r="E65" s="10">
        <f t="shared" si="1"/>
        <v>-3.4198350622914245E-4</v>
      </c>
      <c r="F65" s="24">
        <f t="shared" si="2"/>
        <v>-5.3891706445376771E-3</v>
      </c>
    </row>
    <row r="66" spans="1:6" x14ac:dyDescent="0.3">
      <c r="A66" s="3">
        <v>45870</v>
      </c>
      <c r="B66" s="4">
        <v>84.3</v>
      </c>
      <c r="C66" s="10">
        <f t="shared" si="0"/>
        <v>-2.3274001766912463E-2</v>
      </c>
      <c r="D66" s="5">
        <v>20650.132000000001</v>
      </c>
      <c r="E66" s="10">
        <f t="shared" si="1"/>
        <v>-2.2360855143305308E-2</v>
      </c>
      <c r="F66" s="24">
        <f t="shared" si="2"/>
        <v>-9.1314662360715559E-4</v>
      </c>
    </row>
    <row r="67" spans="1:6" x14ac:dyDescent="0.3">
      <c r="A67" s="3">
        <v>45873</v>
      </c>
      <c r="B67" s="4">
        <v>86.216250000000002</v>
      </c>
      <c r="C67" s="10">
        <f t="shared" si="0"/>
        <v>2.2731316725978709E-2</v>
      </c>
      <c r="D67" s="5">
        <v>21053.581999999999</v>
      </c>
      <c r="E67" s="10">
        <f t="shared" si="1"/>
        <v>1.9537405378328675E-2</v>
      </c>
      <c r="F67" s="24">
        <f t="shared" si="2"/>
        <v>3.1939113476500344E-3</v>
      </c>
    </row>
    <row r="68" spans="1:6" x14ac:dyDescent="0.3">
      <c r="A68" s="3">
        <v>45874</v>
      </c>
      <c r="B68" s="4">
        <v>85.443749999999994</v>
      </c>
      <c r="C68" s="10">
        <f t="shared" ref="C68:C131" si="3">(B68-B67)/B67</f>
        <v>-8.9600278369797795E-3</v>
      </c>
      <c r="D68" s="5">
        <v>20916.55</v>
      </c>
      <c r="E68" s="10">
        <f t="shared" ref="E68:E131" si="4">(D68-D67)/D67</f>
        <v>-6.5087261635573103E-3</v>
      </c>
      <c r="F68" s="24">
        <f t="shared" ref="F68:F131" si="5">C68-E68</f>
        <v>-2.4513016734224692E-3</v>
      </c>
    </row>
    <row r="69" spans="1:6" x14ac:dyDescent="0.3">
      <c r="A69" s="3">
        <v>45875</v>
      </c>
      <c r="B69" s="4">
        <v>86.481250000000003</v>
      </c>
      <c r="C69" s="10">
        <f t="shared" si="3"/>
        <v>1.2142491405164317E-2</v>
      </c>
      <c r="D69" s="5">
        <v>21169.423999999999</v>
      </c>
      <c r="E69" s="10">
        <f t="shared" si="4"/>
        <v>1.2089661057870432E-2</v>
      </c>
      <c r="F69" s="24">
        <f t="shared" si="5"/>
        <v>5.2830347293884861E-5</v>
      </c>
    </row>
    <row r="70" spans="1:6" x14ac:dyDescent="0.3">
      <c r="A70" s="3">
        <v>45876</v>
      </c>
      <c r="B70" s="4">
        <v>86.65</v>
      </c>
      <c r="C70" s="10">
        <f t="shared" si="3"/>
        <v>1.951290019512933E-3</v>
      </c>
      <c r="D70" s="5">
        <v>21242.697</v>
      </c>
      <c r="E70" s="10">
        <f t="shared" si="4"/>
        <v>3.4612656442613199E-3</v>
      </c>
      <c r="F70" s="24">
        <f t="shared" si="5"/>
        <v>-1.5099756247483869E-3</v>
      </c>
    </row>
    <row r="71" spans="1:6" x14ac:dyDescent="0.3">
      <c r="A71" s="3">
        <v>45877</v>
      </c>
      <c r="B71" s="4">
        <v>87.418750000000003</v>
      </c>
      <c r="C71" s="10">
        <f t="shared" si="3"/>
        <v>8.8718984420080443E-3</v>
      </c>
      <c r="D71" s="5">
        <v>21450.022000000001</v>
      </c>
      <c r="E71" s="10">
        <f t="shared" si="4"/>
        <v>9.7598247529492484E-3</v>
      </c>
      <c r="F71" s="24">
        <f t="shared" si="5"/>
        <v>-8.8792631094120403E-4</v>
      </c>
    </row>
    <row r="72" spans="1:6" x14ac:dyDescent="0.3">
      <c r="A72" s="3">
        <v>45880</v>
      </c>
      <c r="B72" s="4">
        <v>86.907499999999999</v>
      </c>
      <c r="C72" s="10">
        <f t="shared" si="3"/>
        <v>-5.8482876957174973E-3</v>
      </c>
      <c r="D72" s="5">
        <v>21385.403999999999</v>
      </c>
      <c r="E72" s="10">
        <f t="shared" si="4"/>
        <v>-3.0124910827598315E-3</v>
      </c>
      <c r="F72" s="24">
        <f t="shared" si="5"/>
        <v>-2.8357966129576658E-3</v>
      </c>
    </row>
    <row r="73" spans="1:6" x14ac:dyDescent="0.3">
      <c r="A73" s="3">
        <v>45881</v>
      </c>
      <c r="B73" s="4">
        <v>88.258750000000006</v>
      </c>
      <c r="C73" s="10">
        <f t="shared" si="3"/>
        <v>1.5548140264073957E-2</v>
      </c>
      <c r="D73" s="5">
        <v>21681.903999999999</v>
      </c>
      <c r="E73" s="10">
        <f t="shared" si="4"/>
        <v>1.3864596619264242E-2</v>
      </c>
      <c r="F73" s="24">
        <f t="shared" si="5"/>
        <v>1.6835436448097152E-3</v>
      </c>
    </row>
    <row r="74" spans="1:6" x14ac:dyDescent="0.3">
      <c r="A74" s="3">
        <v>45882</v>
      </c>
      <c r="B74" s="4">
        <v>88.411249999999995</v>
      </c>
      <c r="C74" s="10">
        <f t="shared" si="3"/>
        <v>1.7278740068263961E-3</v>
      </c>
      <c r="D74" s="5">
        <v>21713.14</v>
      </c>
      <c r="E74" s="10">
        <f t="shared" si="4"/>
        <v>1.4406483858613519E-3</v>
      </c>
      <c r="F74" s="24">
        <f t="shared" si="5"/>
        <v>2.8722562096504425E-4</v>
      </c>
    </row>
    <row r="75" spans="1:6" x14ac:dyDescent="0.3">
      <c r="A75" s="3">
        <v>45883</v>
      </c>
      <c r="B75" s="4">
        <v>88.058750000000003</v>
      </c>
      <c r="C75" s="10">
        <f t="shared" si="3"/>
        <v>-3.9870491594677379E-3</v>
      </c>
      <c r="D75" s="5">
        <v>21710.67</v>
      </c>
      <c r="E75" s="10">
        <f t="shared" si="4"/>
        <v>-1.1375600212595525E-4</v>
      </c>
      <c r="F75" s="24">
        <f t="shared" si="5"/>
        <v>-3.8732931573417827E-3</v>
      </c>
    </row>
    <row r="76" spans="1:6" x14ac:dyDescent="0.3">
      <c r="A76" s="3">
        <v>45884</v>
      </c>
      <c r="B76" s="4">
        <v>87.506249999999994</v>
      </c>
      <c r="C76" s="10">
        <f t="shared" si="3"/>
        <v>-6.2742203358554273E-3</v>
      </c>
      <c r="D76" s="5">
        <v>21622.976999999999</v>
      </c>
      <c r="E76" s="10">
        <f t="shared" si="4"/>
        <v>-4.0391659953377445E-3</v>
      </c>
      <c r="F76" s="24">
        <f t="shared" si="5"/>
        <v>-2.2350543405176828E-3</v>
      </c>
    </row>
    <row r="77" spans="1:6" x14ac:dyDescent="0.3">
      <c r="A77" s="3">
        <v>45887</v>
      </c>
      <c r="B77" s="4">
        <v>87.76</v>
      </c>
      <c r="C77" s="10">
        <f t="shared" si="3"/>
        <v>2.8997928719378422E-3</v>
      </c>
      <c r="D77" s="5">
        <v>21629.774000000001</v>
      </c>
      <c r="E77" s="10">
        <f t="shared" si="4"/>
        <v>3.1434154510742436E-4</v>
      </c>
      <c r="F77" s="24">
        <f t="shared" si="5"/>
        <v>2.5854513268304177E-3</v>
      </c>
    </row>
    <row r="78" spans="1:6" x14ac:dyDescent="0.3">
      <c r="A78" s="3">
        <v>45888</v>
      </c>
      <c r="B78" s="4">
        <v>86.101249999999993</v>
      </c>
      <c r="C78" s="10">
        <f t="shared" si="3"/>
        <v>-1.8900979945305513E-2</v>
      </c>
      <c r="D78" s="5">
        <v>21314.952000000001</v>
      </c>
      <c r="E78" s="10">
        <f t="shared" si="4"/>
        <v>-1.455502956249104E-2</v>
      </c>
      <c r="F78" s="24">
        <f t="shared" si="5"/>
        <v>-4.3459503828144723E-3</v>
      </c>
    </row>
    <row r="79" spans="1:6" x14ac:dyDescent="0.3">
      <c r="A79" s="3">
        <v>45889</v>
      </c>
      <c r="B79" s="4">
        <v>85.486249999999998</v>
      </c>
      <c r="C79" s="10">
        <f t="shared" si="3"/>
        <v>-7.142753444345987E-3</v>
      </c>
      <c r="D79" s="5">
        <v>21172.857</v>
      </c>
      <c r="E79" s="10">
        <f t="shared" si="4"/>
        <v>-6.6664471024847323E-3</v>
      </c>
      <c r="F79" s="24">
        <f t="shared" si="5"/>
        <v>-4.7630634186125471E-4</v>
      </c>
    </row>
    <row r="80" spans="1:6" x14ac:dyDescent="0.3">
      <c r="A80" s="3">
        <v>45890</v>
      </c>
      <c r="B80" s="4">
        <v>85.26</v>
      </c>
      <c r="C80" s="10">
        <f t="shared" si="3"/>
        <v>-2.6466244571494617E-3</v>
      </c>
      <c r="D80" s="5">
        <v>21100.312000000002</v>
      </c>
      <c r="E80" s="10">
        <f t="shared" si="4"/>
        <v>-3.4263207842001792E-3</v>
      </c>
      <c r="F80" s="24">
        <f t="shared" si="5"/>
        <v>7.7969632705071753E-4</v>
      </c>
    </row>
    <row r="81" spans="1:6" x14ac:dyDescent="0.3">
      <c r="A81" s="3">
        <v>45891</v>
      </c>
      <c r="B81" s="4">
        <v>86.771249999999995</v>
      </c>
      <c r="C81" s="10">
        <f t="shared" si="3"/>
        <v>1.7725193525686016E-2</v>
      </c>
      <c r="D81" s="5">
        <v>21496.535</v>
      </c>
      <c r="E81" s="10">
        <f t="shared" si="4"/>
        <v>1.8778063566074196E-2</v>
      </c>
      <c r="F81" s="24">
        <f t="shared" si="5"/>
        <v>-1.0528700403881798E-3</v>
      </c>
    </row>
    <row r="82" spans="1:6" x14ac:dyDescent="0.3">
      <c r="A82" s="3">
        <v>45894</v>
      </c>
      <c r="B82" s="4">
        <v>86.56</v>
      </c>
      <c r="C82" s="10">
        <f t="shared" si="3"/>
        <v>-2.4345621389572311E-3</v>
      </c>
      <c r="D82" s="5">
        <v>21449.292000000001</v>
      </c>
      <c r="E82" s="10">
        <f t="shared" si="4"/>
        <v>-2.1977030251618956E-3</v>
      </c>
      <c r="F82" s="24">
        <f t="shared" si="5"/>
        <v>-2.3685911379533542E-4</v>
      </c>
    </row>
    <row r="83" spans="1:6" x14ac:dyDescent="0.3">
      <c r="A83" s="3">
        <v>45895</v>
      </c>
      <c r="B83" s="4">
        <v>87.003749999999997</v>
      </c>
      <c r="C83" s="10">
        <f t="shared" si="3"/>
        <v>5.1265018484287694E-3</v>
      </c>
      <c r="D83" s="5">
        <v>21544.27</v>
      </c>
      <c r="E83" s="10">
        <f t="shared" si="4"/>
        <v>4.4280249436670985E-3</v>
      </c>
      <c r="F83" s="24">
        <f t="shared" si="5"/>
        <v>6.9847690476167092E-4</v>
      </c>
    </row>
    <row r="84" spans="1:6" x14ac:dyDescent="0.3">
      <c r="A84" s="3">
        <v>45896</v>
      </c>
      <c r="B84" s="4">
        <v>87.614999999999995</v>
      </c>
      <c r="C84" s="10">
        <f t="shared" si="3"/>
        <v>7.0255592431360528E-3</v>
      </c>
      <c r="D84" s="5">
        <v>21590.14</v>
      </c>
      <c r="E84" s="10">
        <f t="shared" si="4"/>
        <v>2.129104397596158E-3</v>
      </c>
      <c r="F84" s="24">
        <f t="shared" si="5"/>
        <v>4.8964548455398948E-3</v>
      </c>
    </row>
    <row r="85" spans="1:6" x14ac:dyDescent="0.3">
      <c r="A85" s="3">
        <v>45897</v>
      </c>
      <c r="B85" s="4">
        <v>88.483750000000001</v>
      </c>
      <c r="C85" s="10">
        <f t="shared" si="3"/>
        <v>9.9155395765565917E-3</v>
      </c>
      <c r="D85" s="5">
        <v>21705.157999999999</v>
      </c>
      <c r="E85" s="10">
        <f t="shared" si="4"/>
        <v>5.3273392391156348E-3</v>
      </c>
      <c r="F85" s="24">
        <f t="shared" si="5"/>
        <v>4.5882003374409569E-3</v>
      </c>
    </row>
    <row r="86" spans="1:6" x14ac:dyDescent="0.3">
      <c r="A86" s="3">
        <v>45898</v>
      </c>
      <c r="B86" s="4">
        <v>87.127499999999998</v>
      </c>
      <c r="C86" s="10">
        <f t="shared" si="3"/>
        <v>-1.5327673160326081E-2</v>
      </c>
      <c r="D86" s="5">
        <v>21455.552</v>
      </c>
      <c r="E86" s="10">
        <f t="shared" si="4"/>
        <v>-1.1499847179182007E-2</v>
      </c>
      <c r="F86" s="24">
        <f t="shared" si="5"/>
        <v>-3.8278259811440739E-3</v>
      </c>
    </row>
    <row r="87" spans="1:6" x14ac:dyDescent="0.3">
      <c r="A87" s="3">
        <v>45902</v>
      </c>
      <c r="B87" s="4">
        <v>86.226249999999993</v>
      </c>
      <c r="C87" s="10">
        <f t="shared" si="3"/>
        <v>-1.0344036039138096E-2</v>
      </c>
      <c r="D87" s="5">
        <v>21279.63</v>
      </c>
      <c r="E87" s="10">
        <f t="shared" si="4"/>
        <v>-8.1993695617804969E-3</v>
      </c>
      <c r="F87" s="24">
        <f t="shared" si="5"/>
        <v>-2.1446664773575996E-3</v>
      </c>
    </row>
    <row r="88" spans="1:6" x14ac:dyDescent="0.3">
      <c r="A88" s="3">
        <v>45903</v>
      </c>
      <c r="B88" s="4">
        <v>86.612499999999997</v>
      </c>
      <c r="C88" s="10">
        <f t="shared" si="3"/>
        <v>4.4794943535176818E-3</v>
      </c>
      <c r="D88" s="5">
        <v>21497.726999999999</v>
      </c>
      <c r="E88" s="10">
        <f t="shared" si="4"/>
        <v>1.0249097376223079E-2</v>
      </c>
      <c r="F88" s="24">
        <f t="shared" si="5"/>
        <v>-5.7696030227053973E-3</v>
      </c>
    </row>
    <row r="89" spans="1:6" x14ac:dyDescent="0.3">
      <c r="A89" s="3">
        <v>45904</v>
      </c>
      <c r="B89" s="4">
        <v>87.192499999999995</v>
      </c>
      <c r="C89" s="10">
        <f t="shared" si="3"/>
        <v>6.6964930004329432E-3</v>
      </c>
      <c r="D89" s="5">
        <v>21707.694</v>
      </c>
      <c r="E89" s="10">
        <f t="shared" si="4"/>
        <v>9.7669395466786126E-3</v>
      </c>
      <c r="F89" s="24">
        <f t="shared" si="5"/>
        <v>-3.0704465462456695E-3</v>
      </c>
    </row>
    <row r="90" spans="1:6" x14ac:dyDescent="0.3">
      <c r="A90" s="3">
        <v>45905</v>
      </c>
      <c r="B90" s="4">
        <v>87.348749999999995</v>
      </c>
      <c r="C90" s="10">
        <f t="shared" si="3"/>
        <v>1.7920119276313904E-3</v>
      </c>
      <c r="D90" s="5">
        <v>21700.387999999999</v>
      </c>
      <c r="E90" s="10">
        <f t="shared" si="4"/>
        <v>-3.3656269523609899E-4</v>
      </c>
      <c r="F90" s="24">
        <f t="shared" si="5"/>
        <v>2.1285746228674892E-3</v>
      </c>
    </row>
    <row r="91" spans="1:6" x14ac:dyDescent="0.3">
      <c r="A91" s="3">
        <v>45908</v>
      </c>
      <c r="B91" s="4">
        <v>88.114999999999995</v>
      </c>
      <c r="C91" s="10">
        <f t="shared" si="3"/>
        <v>8.7723064153751428E-3</v>
      </c>
      <c r="D91" s="5">
        <v>21798.699000000001</v>
      </c>
      <c r="E91" s="10">
        <f t="shared" si="4"/>
        <v>4.5303798254667854E-3</v>
      </c>
      <c r="F91" s="24">
        <f t="shared" si="5"/>
        <v>4.2419265899083574E-3</v>
      </c>
    </row>
    <row r="92" spans="1:6" x14ac:dyDescent="0.3">
      <c r="A92" s="3">
        <v>45909</v>
      </c>
      <c r="B92" s="4">
        <v>88.21875</v>
      </c>
      <c r="C92" s="10">
        <f t="shared" si="3"/>
        <v>1.1774385745900826E-3</v>
      </c>
      <c r="D92" s="5">
        <v>21879.489000000001</v>
      </c>
      <c r="E92" s="10">
        <f t="shared" si="4"/>
        <v>3.7061844837621215E-3</v>
      </c>
      <c r="F92" s="24">
        <f t="shared" si="5"/>
        <v>-2.5287459091720386E-3</v>
      </c>
    </row>
    <row r="93" spans="1:6" x14ac:dyDescent="0.3">
      <c r="A93" s="3">
        <v>45910</v>
      </c>
      <c r="B93" s="4">
        <v>89.366249999999994</v>
      </c>
      <c r="C93" s="10">
        <f t="shared" si="3"/>
        <v>1.3007438894792703E-2</v>
      </c>
      <c r="D93" s="5">
        <v>21886.06</v>
      </c>
      <c r="E93" s="10">
        <f t="shared" si="4"/>
        <v>3.0032694090798522E-4</v>
      </c>
      <c r="F93" s="24">
        <f t="shared" si="5"/>
        <v>1.2707111953884718E-2</v>
      </c>
    </row>
    <row r="94" spans="1:6" x14ac:dyDescent="0.3">
      <c r="A94" s="3">
        <v>45911</v>
      </c>
      <c r="B94" s="4">
        <v>89.846249999999998</v>
      </c>
      <c r="C94" s="10">
        <f t="shared" si="3"/>
        <v>5.3711552179934148E-3</v>
      </c>
      <c r="D94" s="5">
        <v>22043.075000000001</v>
      </c>
      <c r="E94" s="10">
        <f t="shared" si="4"/>
        <v>7.1742012952536642E-3</v>
      </c>
      <c r="F94" s="24">
        <f t="shared" si="5"/>
        <v>-1.8030460772602494E-3</v>
      </c>
    </row>
    <row r="95" spans="1:6" x14ac:dyDescent="0.3">
      <c r="A95" s="3">
        <v>45912</v>
      </c>
      <c r="B95" s="4">
        <v>89.946250000000006</v>
      </c>
      <c r="C95" s="10">
        <f t="shared" si="3"/>
        <v>1.1130125074781476E-3</v>
      </c>
      <c r="D95" s="5">
        <v>22141.102999999999</v>
      </c>
      <c r="E95" s="10">
        <f t="shared" si="4"/>
        <v>4.4471109407375527E-3</v>
      </c>
      <c r="F95" s="24">
        <f t="shared" si="5"/>
        <v>-3.3340984332594051E-3</v>
      </c>
    </row>
    <row r="96" spans="1:6" x14ac:dyDescent="0.3">
      <c r="A96" s="3">
        <v>45915</v>
      </c>
      <c r="B96" s="4">
        <v>90.828749999999999</v>
      </c>
      <c r="C96" s="10">
        <f t="shared" si="3"/>
        <v>9.811415150714934E-3</v>
      </c>
      <c r="D96" s="5">
        <v>22348.749</v>
      </c>
      <c r="E96" s="10">
        <f t="shared" si="4"/>
        <v>9.3783042335334708E-3</v>
      </c>
      <c r="F96" s="24">
        <f t="shared" si="5"/>
        <v>4.3311091718146316E-4</v>
      </c>
    </row>
    <row r="97" spans="1:6" x14ac:dyDescent="0.3">
      <c r="A97" s="3">
        <v>45916</v>
      </c>
      <c r="B97" s="4">
        <v>90.521249999999995</v>
      </c>
      <c r="C97" s="10">
        <f t="shared" si="3"/>
        <v>-3.3854919284918546E-3</v>
      </c>
      <c r="D97" s="5">
        <v>22333.958999999999</v>
      </c>
      <c r="E97" s="10">
        <f t="shared" si="4"/>
        <v>-6.6178200846950643E-4</v>
      </c>
      <c r="F97" s="24">
        <f t="shared" si="5"/>
        <v>-2.7237099200223482E-3</v>
      </c>
    </row>
    <row r="98" spans="1:6" x14ac:dyDescent="0.3">
      <c r="A98" s="3">
        <v>45917</v>
      </c>
      <c r="B98" s="4">
        <v>90.1875</v>
      </c>
      <c r="C98" s="10">
        <f t="shared" si="3"/>
        <v>-3.6869795766186933E-3</v>
      </c>
      <c r="D98" s="5">
        <v>22261.326000000001</v>
      </c>
      <c r="E98" s="10">
        <f t="shared" si="4"/>
        <v>-3.2521327723400045E-3</v>
      </c>
      <c r="F98" s="24">
        <f t="shared" si="5"/>
        <v>-4.348468042786888E-4</v>
      </c>
    </row>
    <row r="99" spans="1:6" x14ac:dyDescent="0.3">
      <c r="A99" s="3">
        <v>45918</v>
      </c>
      <c r="B99" s="4">
        <v>91.788749999999993</v>
      </c>
      <c r="C99" s="10">
        <f t="shared" si="3"/>
        <v>1.7754677754677678E-2</v>
      </c>
      <c r="D99" s="5">
        <v>22470.724999999999</v>
      </c>
      <c r="E99" s="10">
        <f t="shared" si="4"/>
        <v>9.4064028351230119E-3</v>
      </c>
      <c r="F99" s="24">
        <f t="shared" si="5"/>
        <v>8.3482749195546661E-3</v>
      </c>
    </row>
    <row r="100" spans="1:6" x14ac:dyDescent="0.3">
      <c r="A100" s="3">
        <v>45919</v>
      </c>
      <c r="B100" s="4">
        <v>92.646249999999995</v>
      </c>
      <c r="C100" s="10">
        <f t="shared" si="3"/>
        <v>9.3421034712859886E-3</v>
      </c>
      <c r="D100" s="5">
        <v>22631.475999999999</v>
      </c>
      <c r="E100" s="10">
        <f t="shared" si="4"/>
        <v>7.1537967733573448E-3</v>
      </c>
      <c r="F100" s="24">
        <f t="shared" si="5"/>
        <v>2.1883066979286438E-3</v>
      </c>
    </row>
    <row r="101" spans="1:6" x14ac:dyDescent="0.3">
      <c r="A101" s="3">
        <v>45922</v>
      </c>
      <c r="B101" s="4">
        <v>94.143749999999997</v>
      </c>
      <c r="C101" s="10">
        <f t="shared" si="3"/>
        <v>1.6163633174575358E-2</v>
      </c>
      <c r="D101" s="5">
        <v>22788.975999999999</v>
      </c>
      <c r="E101" s="10">
        <f t="shared" si="4"/>
        <v>6.959333982458767E-3</v>
      </c>
      <c r="F101" s="24">
        <f t="shared" si="5"/>
        <v>9.2042991921165909E-3</v>
      </c>
    </row>
    <row r="102" spans="1:6" x14ac:dyDescent="0.3">
      <c r="A102" s="3">
        <v>45923</v>
      </c>
      <c r="B102" s="4">
        <v>93.176249999999996</v>
      </c>
      <c r="C102" s="10">
        <f t="shared" si="3"/>
        <v>-1.0276837283409692E-2</v>
      </c>
      <c r="D102" s="5">
        <v>22573.473000000002</v>
      </c>
      <c r="E102" s="10">
        <f t="shared" si="4"/>
        <v>-9.4564582454252002E-3</v>
      </c>
      <c r="F102" s="24">
        <f t="shared" si="5"/>
        <v>-8.2037903798449184E-4</v>
      </c>
    </row>
    <row r="103" spans="1:6" x14ac:dyDescent="0.3">
      <c r="A103" s="3">
        <v>45924</v>
      </c>
      <c r="B103" s="4">
        <v>92.382499999999993</v>
      </c>
      <c r="C103" s="10">
        <f t="shared" si="3"/>
        <v>-8.5188017332743365E-3</v>
      </c>
      <c r="D103" s="5">
        <v>22497.855</v>
      </c>
      <c r="E103" s="10">
        <f t="shared" si="4"/>
        <v>-3.3498611401091096E-3</v>
      </c>
      <c r="F103" s="24">
        <f t="shared" si="5"/>
        <v>-5.1689405931652273E-3</v>
      </c>
    </row>
    <row r="104" spans="1:6" x14ac:dyDescent="0.3">
      <c r="A104" s="3">
        <v>45925</v>
      </c>
      <c r="B104" s="4">
        <v>92.103750000000005</v>
      </c>
      <c r="C104" s="10">
        <f t="shared" si="3"/>
        <v>-3.0173463588881884E-3</v>
      </c>
      <c r="D104" s="5">
        <v>22384.698</v>
      </c>
      <c r="E104" s="10">
        <f t="shared" si="4"/>
        <v>-5.0296794961119289E-3</v>
      </c>
      <c r="F104" s="24">
        <f t="shared" si="5"/>
        <v>2.0123331372237404E-3</v>
      </c>
    </row>
    <row r="105" spans="1:6" x14ac:dyDescent="0.3">
      <c r="A105" s="3">
        <v>45926</v>
      </c>
      <c r="B105" s="4">
        <v>92.337500000000006</v>
      </c>
      <c r="C105" s="10">
        <f t="shared" si="3"/>
        <v>2.5378988369094695E-3</v>
      </c>
      <c r="D105" s="5">
        <v>22484.067999999999</v>
      </c>
      <c r="E105" s="10">
        <f t="shared" si="4"/>
        <v>4.439193238166491E-3</v>
      </c>
      <c r="F105" s="24">
        <f t="shared" si="5"/>
        <v>-1.9012944012570215E-3</v>
      </c>
    </row>
    <row r="106" spans="1:6" x14ac:dyDescent="0.3">
      <c r="A106" s="3">
        <v>45929</v>
      </c>
      <c r="B106" s="4">
        <v>92.894999999999996</v>
      </c>
      <c r="C106" s="10">
        <f t="shared" si="3"/>
        <v>6.0376336807904732E-3</v>
      </c>
      <c r="D106" s="5">
        <v>22591.153999999999</v>
      </c>
      <c r="E106" s="10">
        <f t="shared" si="4"/>
        <v>4.7627502282949572E-3</v>
      </c>
      <c r="F106" s="24">
        <f t="shared" si="5"/>
        <v>1.274883452495516E-3</v>
      </c>
    </row>
    <row r="107" spans="1:6" x14ac:dyDescent="0.3">
      <c r="A107" s="3">
        <v>45930</v>
      </c>
      <c r="B107" s="4">
        <v>93.328749999999999</v>
      </c>
      <c r="C107" s="10">
        <f t="shared" si="3"/>
        <v>4.6692502287529296E-3</v>
      </c>
      <c r="D107" s="5">
        <v>22660.008999999998</v>
      </c>
      <c r="E107" s="10">
        <f t="shared" si="4"/>
        <v>3.0478744025205428E-3</v>
      </c>
      <c r="F107" s="24">
        <f t="shared" si="5"/>
        <v>1.6213758262323867E-3</v>
      </c>
    </row>
    <row r="108" spans="1:6" x14ac:dyDescent="0.3">
      <c r="A108" s="3">
        <v>45931</v>
      </c>
      <c r="B108" s="4">
        <v>94.064999999999998</v>
      </c>
      <c r="C108" s="10">
        <f t="shared" si="3"/>
        <v>7.888780252601672E-3</v>
      </c>
      <c r="D108" s="5">
        <v>22755.156999999999</v>
      </c>
      <c r="E108" s="10">
        <f t="shared" si="4"/>
        <v>4.1989391972439664E-3</v>
      </c>
      <c r="F108" s="24">
        <f t="shared" si="5"/>
        <v>3.6898410553577055E-3</v>
      </c>
    </row>
    <row r="109" spans="1:6" x14ac:dyDescent="0.3">
      <c r="A109" s="3">
        <v>45932</v>
      </c>
      <c r="B109" s="4">
        <v>94.748750000000001</v>
      </c>
      <c r="C109" s="10">
        <f t="shared" si="3"/>
        <v>7.2689097964174073E-3</v>
      </c>
      <c r="D109" s="5">
        <v>22844.050999999999</v>
      </c>
      <c r="E109" s="10">
        <f t="shared" si="4"/>
        <v>3.9065430311028063E-3</v>
      </c>
      <c r="F109" s="24">
        <f t="shared" si="5"/>
        <v>3.3623667653146011E-3</v>
      </c>
    </row>
    <row r="110" spans="1:6" x14ac:dyDescent="0.3">
      <c r="A110" s="3">
        <v>45933</v>
      </c>
      <c r="B110" s="4">
        <v>94.458749999999995</v>
      </c>
      <c r="C110" s="10">
        <f t="shared" si="3"/>
        <v>-3.0607263948073853E-3</v>
      </c>
      <c r="D110" s="5">
        <v>22780.506000000001</v>
      </c>
      <c r="E110" s="10">
        <f t="shared" si="4"/>
        <v>-2.7816870133934761E-3</v>
      </c>
      <c r="F110" s="24">
        <f t="shared" si="5"/>
        <v>-2.7903938141390916E-4</v>
      </c>
    </row>
    <row r="111" spans="1:6" x14ac:dyDescent="0.3">
      <c r="A111" s="3">
        <v>45936</v>
      </c>
      <c r="B111" s="4">
        <v>95.272499999999994</v>
      </c>
      <c r="C111" s="10">
        <f t="shared" si="3"/>
        <v>8.6148715709238044E-3</v>
      </c>
      <c r="D111" s="5">
        <v>22941.667000000001</v>
      </c>
      <c r="E111" s="10">
        <f t="shared" si="4"/>
        <v>7.0745136214270237E-3</v>
      </c>
      <c r="F111" s="24">
        <f t="shared" si="5"/>
        <v>1.5403579494967807E-3</v>
      </c>
    </row>
    <row r="112" spans="1:6" x14ac:dyDescent="0.3">
      <c r="A112" s="3">
        <v>45937</v>
      </c>
      <c r="B112" s="4">
        <v>94.398750000000007</v>
      </c>
      <c r="C112" s="10">
        <f t="shared" si="3"/>
        <v>-9.1710619538690284E-3</v>
      </c>
      <c r="D112" s="5">
        <v>22788.363000000001</v>
      </c>
      <c r="E112" s="10">
        <f t="shared" si="4"/>
        <v>-6.6823391691632553E-3</v>
      </c>
      <c r="F112" s="24">
        <f t="shared" si="5"/>
        <v>-2.4887227847057731E-3</v>
      </c>
    </row>
    <row r="113" spans="1:6" x14ac:dyDescent="0.3">
      <c r="A113" s="3">
        <v>45938</v>
      </c>
      <c r="B113" s="4">
        <v>96.002499999999998</v>
      </c>
      <c r="C113" s="10">
        <f t="shared" si="3"/>
        <v>1.6989102080271091E-2</v>
      </c>
      <c r="D113" s="5">
        <v>23043.378000000001</v>
      </c>
      <c r="E113" s="10">
        <f t="shared" si="4"/>
        <v>1.1190580034204273E-2</v>
      </c>
      <c r="F113" s="24">
        <f t="shared" si="5"/>
        <v>5.7985220460668174E-3</v>
      </c>
    </row>
    <row r="114" spans="1:6" x14ac:dyDescent="0.3">
      <c r="A114" s="3">
        <v>45939</v>
      </c>
      <c r="B114" s="4">
        <v>95.954999999999998</v>
      </c>
      <c r="C114" s="10">
        <f t="shared" si="3"/>
        <v>-4.9477878180255127E-4</v>
      </c>
      <c r="D114" s="5">
        <v>23024.626</v>
      </c>
      <c r="E114" s="10">
        <f t="shared" si="4"/>
        <v>-8.1376957840123988E-4</v>
      </c>
      <c r="F114" s="24">
        <f t="shared" si="5"/>
        <v>3.189907965986886E-4</v>
      </c>
    </row>
    <row r="115" spans="1:6" x14ac:dyDescent="0.3">
      <c r="A115" s="3">
        <v>45940</v>
      </c>
      <c r="B115" s="4">
        <v>92.041250000000005</v>
      </c>
      <c r="C115" s="10">
        <f t="shared" si="3"/>
        <v>-4.0787348236152293E-2</v>
      </c>
      <c r="D115" s="5">
        <v>22204.43</v>
      </c>
      <c r="E115" s="10">
        <f t="shared" si="4"/>
        <v>-3.5622554737696932E-2</v>
      </c>
      <c r="F115" s="24">
        <f t="shared" si="5"/>
        <v>-5.1647934984553612E-3</v>
      </c>
    </row>
    <row r="116" spans="1:6" x14ac:dyDescent="0.3">
      <c r="A116" s="3">
        <v>45943</v>
      </c>
      <c r="B116" s="4">
        <v>94.436250000000001</v>
      </c>
      <c r="C116" s="10">
        <f t="shared" si="3"/>
        <v>2.6020941697336746E-2</v>
      </c>
      <c r="D116" s="5">
        <v>22694.608</v>
      </c>
      <c r="E116" s="10">
        <f t="shared" si="4"/>
        <v>2.2075684897112868E-2</v>
      </c>
      <c r="F116" s="24">
        <f t="shared" si="5"/>
        <v>3.9452568002238779E-3</v>
      </c>
    </row>
    <row r="117" spans="1:6" x14ac:dyDescent="0.3">
      <c r="A117" s="3">
        <v>45944</v>
      </c>
      <c r="B117" s="4">
        <v>93.23</v>
      </c>
      <c r="C117" s="10">
        <f t="shared" si="3"/>
        <v>-1.2773167083614577E-2</v>
      </c>
      <c r="D117" s="5">
        <v>22521.701000000001</v>
      </c>
      <c r="E117" s="10">
        <f t="shared" si="4"/>
        <v>-7.6188581886939503E-3</v>
      </c>
      <c r="F117" s="24">
        <f t="shared" si="5"/>
        <v>-5.154308894920627E-3</v>
      </c>
    </row>
    <row r="118" spans="1:6" x14ac:dyDescent="0.3">
      <c r="A118" s="3">
        <v>45945</v>
      </c>
      <c r="B118" s="4">
        <v>94.096249999999998</v>
      </c>
      <c r="C118" s="10">
        <f t="shared" si="3"/>
        <v>9.2915370588865578E-3</v>
      </c>
      <c r="D118" s="5">
        <v>22670.080000000002</v>
      </c>
      <c r="E118" s="10">
        <f t="shared" si="4"/>
        <v>6.5882679110250515E-3</v>
      </c>
      <c r="F118" s="24">
        <f t="shared" si="5"/>
        <v>2.7032691478615064E-3</v>
      </c>
    </row>
    <row r="119" spans="1:6" x14ac:dyDescent="0.3">
      <c r="A119" s="3">
        <v>45946</v>
      </c>
      <c r="B119" s="4">
        <v>93.793750000000003</v>
      </c>
      <c r="C119" s="10">
        <f t="shared" si="3"/>
        <v>-3.2147933631786058E-3</v>
      </c>
      <c r="D119" s="5">
        <v>22562.537</v>
      </c>
      <c r="E119" s="10">
        <f t="shared" si="4"/>
        <v>-4.74382975269613E-3</v>
      </c>
      <c r="F119" s="24">
        <f t="shared" si="5"/>
        <v>1.5290363895175242E-3</v>
      </c>
    </row>
    <row r="120" spans="1:6" x14ac:dyDescent="0.3">
      <c r="A120" s="3">
        <v>45947</v>
      </c>
      <c r="B120" s="4">
        <v>94.02</v>
      </c>
      <c r="C120" s="10">
        <f t="shared" si="3"/>
        <v>2.412207636436257E-3</v>
      </c>
      <c r="D120" s="5">
        <v>22679.974999999999</v>
      </c>
      <c r="E120" s="10">
        <f t="shared" si="4"/>
        <v>5.2049997746263319E-3</v>
      </c>
      <c r="F120" s="24">
        <f t="shared" si="5"/>
        <v>-2.7927921381900749E-3</v>
      </c>
    </row>
    <row r="121" spans="1:6" x14ac:dyDescent="0.3">
      <c r="A121" s="3">
        <v>45950</v>
      </c>
      <c r="B121" s="4">
        <v>95.272499999999994</v>
      </c>
      <c r="C121" s="10">
        <f t="shared" si="3"/>
        <v>1.3321633694958496E-2</v>
      </c>
      <c r="D121" s="5">
        <v>22990.543000000001</v>
      </c>
      <c r="E121" s="10">
        <f t="shared" si="4"/>
        <v>1.3693489521042372E-2</v>
      </c>
      <c r="F121" s="24">
        <f t="shared" si="5"/>
        <v>-3.7185582608387571E-4</v>
      </c>
    </row>
    <row r="122" spans="1:6" x14ac:dyDescent="0.3">
      <c r="A122" s="3">
        <v>45951</v>
      </c>
      <c r="B122" s="4">
        <v>95.176249999999996</v>
      </c>
      <c r="C122" s="10">
        <f t="shared" si="3"/>
        <v>-1.0102600435592404E-3</v>
      </c>
      <c r="D122" s="5">
        <v>22953.666000000001</v>
      </c>
      <c r="E122" s="10">
        <f t="shared" si="4"/>
        <v>-1.6040073520664738E-3</v>
      </c>
      <c r="F122" s="24">
        <f t="shared" si="5"/>
        <v>5.9374730850723337E-4</v>
      </c>
    </row>
    <row r="123" spans="1:6" x14ac:dyDescent="0.3">
      <c r="A123" s="3">
        <v>45952</v>
      </c>
      <c r="B123" s="4">
        <v>94.051249999999996</v>
      </c>
      <c r="C123" s="10">
        <f t="shared" si="3"/>
        <v>-1.182017572661247E-2</v>
      </c>
      <c r="D123" s="5">
        <v>22740.396000000001</v>
      </c>
      <c r="E123" s="10">
        <f t="shared" si="4"/>
        <v>-9.2913262744173594E-3</v>
      </c>
      <c r="F123" s="24">
        <f t="shared" si="5"/>
        <v>-2.5288494521951109E-3</v>
      </c>
    </row>
    <row r="124" spans="1:6" x14ac:dyDescent="0.3">
      <c r="A124" s="3">
        <v>45953</v>
      </c>
      <c r="B124" s="4">
        <v>95.282499999999999</v>
      </c>
      <c r="C124" s="10">
        <f t="shared" si="3"/>
        <v>1.3091266729575661E-2</v>
      </c>
      <c r="D124" s="5">
        <v>22941.797999999999</v>
      </c>
      <c r="E124" s="10">
        <f t="shared" si="4"/>
        <v>8.8565740016136145E-3</v>
      </c>
      <c r="F124" s="24">
        <f t="shared" si="5"/>
        <v>4.2346927279620465E-3</v>
      </c>
    </row>
    <row r="125" spans="1:6" x14ac:dyDescent="0.3">
      <c r="A125" s="3">
        <v>45954</v>
      </c>
      <c r="B125" s="4">
        <v>96.767499999999998</v>
      </c>
      <c r="C125" s="10">
        <f t="shared" si="3"/>
        <v>1.5585233384934269E-2</v>
      </c>
      <c r="D125" s="5">
        <v>23204.866999999998</v>
      </c>
      <c r="E125" s="10">
        <f t="shared" si="4"/>
        <v>1.146679959434738E-2</v>
      </c>
      <c r="F125" s="24">
        <f t="shared" si="5"/>
        <v>4.1184337905868888E-3</v>
      </c>
    </row>
    <row r="126" spans="1:6" x14ac:dyDescent="0.3">
      <c r="A126" s="3">
        <v>45957</v>
      </c>
      <c r="B126" s="4">
        <v>98.501249999999999</v>
      </c>
      <c r="C126" s="10">
        <f t="shared" si="3"/>
        <v>1.7916655902033229E-2</v>
      </c>
      <c r="D126" s="5">
        <v>23637.455999999998</v>
      </c>
      <c r="E126" s="10">
        <f t="shared" si="4"/>
        <v>1.8642166748897977E-2</v>
      </c>
      <c r="F126" s="24">
        <f t="shared" si="5"/>
        <v>-7.2551084686474712E-4</v>
      </c>
    </row>
    <row r="127" spans="1:6" x14ac:dyDescent="0.3">
      <c r="A127" s="3">
        <v>45958</v>
      </c>
      <c r="B127" s="4">
        <v>99.517499999999998</v>
      </c>
      <c r="C127" s="10">
        <f t="shared" si="3"/>
        <v>1.0317127955228989E-2</v>
      </c>
      <c r="D127" s="5">
        <v>23827.492999999999</v>
      </c>
      <c r="E127" s="10">
        <f t="shared" si="4"/>
        <v>8.0396553673119601E-3</v>
      </c>
      <c r="F127" s="24">
        <f t="shared" si="5"/>
        <v>2.2774725879170284E-3</v>
      </c>
    </row>
    <row r="128" spans="1:6" x14ac:dyDescent="0.3">
      <c r="A128" s="3">
        <v>45959</v>
      </c>
      <c r="B128" s="4">
        <v>100.19</v>
      </c>
      <c r="C128" s="10">
        <f t="shared" si="3"/>
        <v>6.7576054462782868E-3</v>
      </c>
      <c r="D128" s="5">
        <v>23958.473000000002</v>
      </c>
      <c r="E128" s="10">
        <f t="shared" si="4"/>
        <v>5.497011372535214E-3</v>
      </c>
      <c r="F128" s="24">
        <f t="shared" si="5"/>
        <v>1.2605940737430727E-3</v>
      </c>
    </row>
    <row r="129" spans="1:6" x14ac:dyDescent="0.3">
      <c r="A129" s="3">
        <v>45960</v>
      </c>
      <c r="B129" s="4">
        <v>98.868750000000006</v>
      </c>
      <c r="C129" s="10">
        <f t="shared" si="3"/>
        <v>-1.3187443856672244E-2</v>
      </c>
      <c r="D129" s="5">
        <v>23581.144</v>
      </c>
      <c r="E129" s="10">
        <f t="shared" si="4"/>
        <v>-1.5749292536298181E-2</v>
      </c>
      <c r="F129" s="24">
        <f t="shared" si="5"/>
        <v>2.5618486796259374E-3</v>
      </c>
    </row>
    <row r="130" spans="1:6" x14ac:dyDescent="0.3">
      <c r="A130" s="3">
        <v>45961</v>
      </c>
      <c r="B130" s="4">
        <v>99.151250000000005</v>
      </c>
      <c r="C130" s="10">
        <f t="shared" si="3"/>
        <v>2.8573234717744369E-3</v>
      </c>
      <c r="D130" s="5">
        <v>23724.956999999999</v>
      </c>
      <c r="E130" s="10">
        <f t="shared" si="4"/>
        <v>6.0986438995494991E-3</v>
      </c>
      <c r="F130" s="24">
        <f t="shared" si="5"/>
        <v>-3.2413204277750621E-3</v>
      </c>
    </row>
    <row r="131" spans="1:6" x14ac:dyDescent="0.3">
      <c r="A131" s="3">
        <v>45964</v>
      </c>
      <c r="B131" s="4">
        <v>99.493750000000006</v>
      </c>
      <c r="C131" s="10">
        <f t="shared" si="3"/>
        <v>3.4543185285107461E-3</v>
      </c>
      <c r="D131" s="5">
        <v>23834.723000000002</v>
      </c>
      <c r="E131" s="10">
        <f t="shared" si="4"/>
        <v>4.6266048026979891E-3</v>
      </c>
      <c r="F131" s="24">
        <f t="shared" si="5"/>
        <v>-1.172286274187243E-3</v>
      </c>
    </row>
    <row r="132" spans="1:6" x14ac:dyDescent="0.3">
      <c r="A132" s="3">
        <v>45965</v>
      </c>
      <c r="B132" s="4">
        <v>96.806250000000006</v>
      </c>
      <c r="C132" s="10">
        <f t="shared" ref="C132:C195" si="6">(B132-B131)/B131</f>
        <v>-2.7011746969030716E-2</v>
      </c>
      <c r="D132" s="5">
        <v>23348.636999999999</v>
      </c>
      <c r="E132" s="10">
        <f t="shared" ref="E132:E195" si="7">(D132-D131)/D131</f>
        <v>-2.0394027654527511E-2</v>
      </c>
      <c r="F132" s="24">
        <f t="shared" ref="F132:F195" si="8">C132-E132</f>
        <v>-6.6177193145032058E-3</v>
      </c>
    </row>
    <row r="133" spans="1:6" x14ac:dyDescent="0.3">
      <c r="A133" s="3">
        <v>45966</v>
      </c>
      <c r="B133" s="4">
        <v>97.207499999999996</v>
      </c>
      <c r="C133" s="10">
        <f t="shared" si="6"/>
        <v>4.1448770094905064E-3</v>
      </c>
      <c r="D133" s="5">
        <v>23499.796999999999</v>
      </c>
      <c r="E133" s="10">
        <f t="shared" si="7"/>
        <v>6.4740395766999101E-3</v>
      </c>
      <c r="F133" s="24">
        <f t="shared" si="8"/>
        <v>-2.3291625672094037E-3</v>
      </c>
    </row>
    <row r="134" spans="1:6" x14ac:dyDescent="0.3">
      <c r="A134" s="3">
        <v>45967</v>
      </c>
      <c r="B134" s="4">
        <v>95.3</v>
      </c>
      <c r="C134" s="10">
        <f t="shared" si="6"/>
        <v>-1.9622971478538167E-2</v>
      </c>
      <c r="D134" s="5">
        <v>23053.992999999999</v>
      </c>
      <c r="E134" s="10">
        <f t="shared" si="7"/>
        <v>-1.8970546851957919E-2</v>
      </c>
      <c r="F134" s="24">
        <f t="shared" si="8"/>
        <v>-6.5242462658024816E-4</v>
      </c>
    </row>
    <row r="135" spans="1:6" x14ac:dyDescent="0.3">
      <c r="A135" s="3">
        <v>45968</v>
      </c>
      <c r="B135" s="4">
        <v>95.171250000000001</v>
      </c>
      <c r="C135" s="10">
        <f t="shared" si="6"/>
        <v>-1.3509968520461343E-3</v>
      </c>
      <c r="D135" s="5">
        <v>23004.538</v>
      </c>
      <c r="E135" s="10">
        <f t="shared" si="7"/>
        <v>-2.1451815310258014E-3</v>
      </c>
      <c r="F135" s="24">
        <f t="shared" si="8"/>
        <v>7.9418467897966706E-4</v>
      </c>
    </row>
    <row r="136" spans="1:6" x14ac:dyDescent="0.3">
      <c r="A136" s="3">
        <v>45971</v>
      </c>
      <c r="B136" s="4">
        <v>97.546250000000001</v>
      </c>
      <c r="C136" s="10">
        <f t="shared" si="6"/>
        <v>2.4955015301364646E-2</v>
      </c>
      <c r="D136" s="5">
        <v>23527.173999999999</v>
      </c>
      <c r="E136" s="10">
        <f t="shared" si="7"/>
        <v>2.2718821825502368E-2</v>
      </c>
      <c r="F136" s="24">
        <f t="shared" si="8"/>
        <v>2.2361934758622776E-3</v>
      </c>
    </row>
    <row r="137" spans="1:6" x14ac:dyDescent="0.3">
      <c r="A137" s="3">
        <v>45972</v>
      </c>
      <c r="B137" s="4">
        <v>96.662499999999994</v>
      </c>
      <c r="C137" s="10">
        <f t="shared" si="6"/>
        <v>-9.0598049643118642E-3</v>
      </c>
      <c r="D137" s="5">
        <v>23468.300999999999</v>
      </c>
      <c r="E137" s="10">
        <f t="shared" si="7"/>
        <v>-2.5023404850918174E-3</v>
      </c>
      <c r="F137" s="24">
        <f t="shared" si="8"/>
        <v>-6.5574644792200463E-3</v>
      </c>
    </row>
    <row r="138" spans="1:6" x14ac:dyDescent="0.3">
      <c r="A138" s="3">
        <v>45973</v>
      </c>
      <c r="B138" s="4">
        <v>96.771249999999995</v>
      </c>
      <c r="C138" s="10">
        <f t="shared" si="6"/>
        <v>1.1250484934695521E-3</v>
      </c>
      <c r="D138" s="5">
        <v>23406.456999999999</v>
      </c>
      <c r="E138" s="10">
        <f t="shared" si="7"/>
        <v>-2.6352141980793991E-3</v>
      </c>
      <c r="F138" s="24">
        <f t="shared" si="8"/>
        <v>3.7602626915489512E-3</v>
      </c>
    </row>
    <row r="139" spans="1:6" x14ac:dyDescent="0.3">
      <c r="A139" s="3">
        <v>45974</v>
      </c>
      <c r="B139" s="4">
        <v>94.045000000000002</v>
      </c>
      <c r="C139" s="10">
        <f t="shared" si="6"/>
        <v>-2.8172106901584854E-2</v>
      </c>
      <c r="D139" s="5">
        <v>22870.355</v>
      </c>
      <c r="E139" s="10">
        <f t="shared" si="7"/>
        <v>-2.29040217406675E-2</v>
      </c>
      <c r="F139" s="24">
        <f t="shared" si="8"/>
        <v>-5.2680851609173546E-3</v>
      </c>
    </row>
    <row r="140" spans="1:6" x14ac:dyDescent="0.3">
      <c r="A140" s="3">
        <v>45975</v>
      </c>
      <c r="B140" s="4">
        <v>94.532499999999999</v>
      </c>
      <c r="C140" s="10">
        <f t="shared" si="6"/>
        <v>5.1836886596841637E-3</v>
      </c>
      <c r="D140" s="5">
        <v>22900.589</v>
      </c>
      <c r="E140" s="10">
        <f t="shared" si="7"/>
        <v>1.3219733580873746E-3</v>
      </c>
      <c r="F140" s="24">
        <f t="shared" si="8"/>
        <v>3.8617153015967891E-3</v>
      </c>
    </row>
    <row r="141" spans="1:6" x14ac:dyDescent="0.3">
      <c r="A141" s="3">
        <v>45978</v>
      </c>
      <c r="B141" s="4">
        <v>92.962500000000006</v>
      </c>
      <c r="C141" s="10">
        <f t="shared" si="6"/>
        <v>-1.66080448522994E-2</v>
      </c>
      <c r="D141" s="5">
        <v>22708.075000000001</v>
      </c>
      <c r="E141" s="10">
        <f t="shared" si="7"/>
        <v>-8.4065086710214832E-3</v>
      </c>
      <c r="F141" s="24">
        <f t="shared" si="8"/>
        <v>-8.2015361812779169E-3</v>
      </c>
    </row>
    <row r="142" spans="1:6" x14ac:dyDescent="0.3">
      <c r="A142" s="3">
        <v>45979</v>
      </c>
      <c r="B142" s="4">
        <v>91.573750000000004</v>
      </c>
      <c r="C142" s="10">
        <f t="shared" si="6"/>
        <v>-1.4938819416431375E-2</v>
      </c>
      <c r="D142" s="5">
        <v>22432.846000000001</v>
      </c>
      <c r="E142" s="10">
        <f t="shared" si="7"/>
        <v>-1.2120314029260488E-2</v>
      </c>
      <c r="F142" s="24">
        <f t="shared" si="8"/>
        <v>-2.8185053871708863E-3</v>
      </c>
    </row>
    <row r="143" spans="1:6" x14ac:dyDescent="0.3">
      <c r="A143" s="3">
        <v>45980</v>
      </c>
      <c r="B143" s="4">
        <v>92.196250000000006</v>
      </c>
      <c r="C143" s="10">
        <f t="shared" si="6"/>
        <v>6.7977995877639853E-3</v>
      </c>
      <c r="D143" s="5">
        <v>22564.228999999999</v>
      </c>
      <c r="E143" s="10">
        <f t="shared" si="7"/>
        <v>5.856724554699746E-3</v>
      </c>
      <c r="F143" s="24">
        <f t="shared" si="8"/>
        <v>9.4107503306423926E-4</v>
      </c>
    </row>
    <row r="144" spans="1:6" x14ac:dyDescent="0.3">
      <c r="A144" s="3">
        <v>45981</v>
      </c>
      <c r="B144" s="4">
        <v>89.462500000000006</v>
      </c>
      <c r="C144" s="10">
        <f t="shared" si="6"/>
        <v>-2.9651422915791047E-2</v>
      </c>
      <c r="D144" s="5">
        <v>22078.047999999999</v>
      </c>
      <c r="E144" s="10">
        <f t="shared" si="7"/>
        <v>-2.1546537220482938E-2</v>
      </c>
      <c r="F144" s="24">
        <f t="shared" si="8"/>
        <v>-8.1048856953081089E-3</v>
      </c>
    </row>
    <row r="145" spans="1:6" x14ac:dyDescent="0.3">
      <c r="A145" s="3">
        <v>45982</v>
      </c>
      <c r="B145" s="4">
        <v>89.861249999999998</v>
      </c>
      <c r="C145" s="10">
        <f t="shared" si="6"/>
        <v>4.4571747939079788E-3</v>
      </c>
      <c r="D145" s="5">
        <v>22273.082999999999</v>
      </c>
      <c r="E145" s="10">
        <f t="shared" si="7"/>
        <v>8.8338878509549336E-3</v>
      </c>
      <c r="F145" s="24">
        <f t="shared" si="8"/>
        <v>-4.3767130570469548E-3</v>
      </c>
    </row>
    <row r="146" spans="1:6" x14ac:dyDescent="0.3">
      <c r="A146" s="3">
        <v>45985</v>
      </c>
      <c r="B146" s="4">
        <v>92.118750000000006</v>
      </c>
      <c r="C146" s="10">
        <f t="shared" si="6"/>
        <v>2.5122063180737054E-2</v>
      </c>
      <c r="D146" s="5">
        <v>22872.005000000001</v>
      </c>
      <c r="E146" s="10">
        <f t="shared" si="7"/>
        <v>2.6889946039351728E-2</v>
      </c>
      <c r="F146" s="24">
        <f t="shared" si="8"/>
        <v>-1.7678828586146743E-3</v>
      </c>
    </row>
    <row r="147" spans="1:6" x14ac:dyDescent="0.3">
      <c r="A147" s="3">
        <v>45986</v>
      </c>
      <c r="B147" s="4">
        <v>92.401250000000005</v>
      </c>
      <c r="C147" s="10">
        <f t="shared" si="6"/>
        <v>3.0666938055498891E-3</v>
      </c>
      <c r="D147" s="5">
        <v>23025.591</v>
      </c>
      <c r="E147" s="10">
        <f t="shared" si="7"/>
        <v>6.715021267265346E-3</v>
      </c>
      <c r="F147" s="24">
        <f t="shared" si="8"/>
        <v>-3.6483274617154569E-3</v>
      </c>
    </row>
    <row r="148" spans="1:6" x14ac:dyDescent="0.3">
      <c r="A148" s="3">
        <v>45987</v>
      </c>
      <c r="B148" s="4">
        <v>93.366249999999994</v>
      </c>
      <c r="C148" s="10">
        <f t="shared" si="6"/>
        <v>1.044358166150338E-2</v>
      </c>
      <c r="D148" s="5">
        <v>23214.69</v>
      </c>
      <c r="E148" s="10">
        <f t="shared" si="7"/>
        <v>8.2125579317377066E-3</v>
      </c>
      <c r="F148" s="24">
        <f t="shared" si="8"/>
        <v>2.2310237297656736E-3</v>
      </c>
    </row>
    <row r="149" spans="1:6" x14ac:dyDescent="0.3">
      <c r="A149" s="3">
        <v>45989</v>
      </c>
      <c r="B149" s="4">
        <v>94.025000000000006</v>
      </c>
      <c r="C149" s="10">
        <f t="shared" si="6"/>
        <v>7.0555473739173629E-3</v>
      </c>
      <c r="D149" s="5">
        <v>23365.686000000002</v>
      </c>
      <c r="E149" s="10">
        <f t="shared" si="7"/>
        <v>6.50432980151804E-3</v>
      </c>
      <c r="F149" s="24">
        <f t="shared" si="8"/>
        <v>5.5121757239932293E-4</v>
      </c>
    </row>
    <row r="150" spans="1:6" x14ac:dyDescent="0.3">
      <c r="A150" s="3">
        <v>45992</v>
      </c>
      <c r="B150" s="4">
        <v>93.986249999999998</v>
      </c>
      <c r="C150" s="10">
        <f t="shared" si="6"/>
        <v>-4.1212443499077256E-4</v>
      </c>
      <c r="D150" s="5">
        <v>23275.921999999999</v>
      </c>
      <c r="E150" s="10">
        <f t="shared" si="7"/>
        <v>-3.8417018871178378E-3</v>
      </c>
      <c r="F150" s="24">
        <f t="shared" si="8"/>
        <v>3.4295774521270654E-3</v>
      </c>
    </row>
    <row r="151" spans="1:6" x14ac:dyDescent="0.3">
      <c r="A151" s="3">
        <v>45993</v>
      </c>
      <c r="B151" s="4">
        <v>94.963750000000005</v>
      </c>
      <c r="C151" s="10">
        <f t="shared" si="6"/>
        <v>1.0400457513732128E-2</v>
      </c>
      <c r="D151" s="5">
        <v>23413.673999999999</v>
      </c>
      <c r="E151" s="10">
        <f t="shared" si="7"/>
        <v>5.9182188357565562E-3</v>
      </c>
      <c r="F151" s="24">
        <f t="shared" si="8"/>
        <v>4.4822386779755719E-3</v>
      </c>
    </row>
    <row r="152" spans="1:6" x14ac:dyDescent="0.3">
      <c r="A152" s="3">
        <v>45994</v>
      </c>
      <c r="B152" s="4">
        <v>95.14</v>
      </c>
      <c r="C152" s="10">
        <f t="shared" si="6"/>
        <v>1.8559713574916325E-3</v>
      </c>
      <c r="D152" s="5">
        <v>23454.092000000001</v>
      </c>
      <c r="E152" s="10">
        <f t="shared" si="7"/>
        <v>1.7262562039601938E-3</v>
      </c>
      <c r="F152" s="24">
        <f t="shared" si="8"/>
        <v>1.2971515353143873E-4</v>
      </c>
    </row>
    <row r="153" spans="1:6" x14ac:dyDescent="0.3">
      <c r="A153" s="3">
        <v>45995</v>
      </c>
      <c r="B153" s="4">
        <v>95.581249999999997</v>
      </c>
      <c r="C153" s="10">
        <f t="shared" si="6"/>
        <v>4.6379020391002371E-3</v>
      </c>
      <c r="D153" s="5">
        <v>23505.135999999999</v>
      </c>
      <c r="E153" s="10">
        <f t="shared" si="7"/>
        <v>2.1763366494852178E-3</v>
      </c>
      <c r="F153" s="24">
        <f t="shared" si="8"/>
        <v>2.4615653896150193E-3</v>
      </c>
    </row>
    <row r="154" spans="1:6" x14ac:dyDescent="0.3">
      <c r="A154" s="3">
        <v>45996</v>
      </c>
      <c r="B154" s="4">
        <v>95.996250000000003</v>
      </c>
      <c r="C154" s="10">
        <f t="shared" si="6"/>
        <v>4.3418557509972535E-3</v>
      </c>
      <c r="D154" s="5">
        <v>23578.128000000001</v>
      </c>
      <c r="E154" s="10">
        <f t="shared" si="7"/>
        <v>3.1053638660079232E-3</v>
      </c>
      <c r="F154" s="24">
        <f t="shared" si="8"/>
        <v>1.2364918849893302E-3</v>
      </c>
    </row>
    <row r="155" spans="1:6" x14ac:dyDescent="0.3">
      <c r="A155" s="3">
        <v>45999</v>
      </c>
      <c r="B155" s="4">
        <v>96.834999999999994</v>
      </c>
      <c r="C155" s="10">
        <f t="shared" si="6"/>
        <v>8.7373204682473574E-3</v>
      </c>
      <c r="D155" s="5">
        <v>23545.903999999999</v>
      </c>
      <c r="E155" s="10">
        <f t="shared" si="7"/>
        <v>-1.3666903496325907E-3</v>
      </c>
      <c r="F155" s="24">
        <f t="shared" si="8"/>
        <v>1.0104010817879948E-2</v>
      </c>
    </row>
    <row r="156" spans="1:6" x14ac:dyDescent="0.3">
      <c r="A156" s="3">
        <v>46000</v>
      </c>
      <c r="B156" s="4">
        <v>97.045000000000002</v>
      </c>
      <c r="C156" s="10">
        <f t="shared" si="6"/>
        <v>2.1686373728508077E-3</v>
      </c>
      <c r="D156" s="5">
        <v>23576.486000000001</v>
      </c>
      <c r="E156" s="10">
        <f t="shared" si="7"/>
        <v>1.2988246278419447E-3</v>
      </c>
      <c r="F156" s="24">
        <f t="shared" si="8"/>
        <v>8.6981274500886295E-4</v>
      </c>
    </row>
    <row r="157" spans="1:6" x14ac:dyDescent="0.3">
      <c r="A157" s="3">
        <v>46001</v>
      </c>
      <c r="B157" s="4">
        <v>97.394999999999996</v>
      </c>
      <c r="C157" s="10">
        <f t="shared" si="6"/>
        <v>3.606574269668652E-3</v>
      </c>
      <c r="D157" s="5">
        <v>23654.154999999999</v>
      </c>
      <c r="E157" s="10">
        <f t="shared" si="7"/>
        <v>3.2943416588883537E-3</v>
      </c>
      <c r="F157" s="24">
        <f t="shared" si="8"/>
        <v>3.1223261078029826E-4</v>
      </c>
    </row>
    <row r="158" spans="1:6" x14ac:dyDescent="0.3">
      <c r="A158" s="3">
        <v>46002</v>
      </c>
      <c r="B158" s="4">
        <v>97.042500000000004</v>
      </c>
      <c r="C158" s="10">
        <f t="shared" si="6"/>
        <v>-3.6192823040196321E-3</v>
      </c>
      <c r="D158" s="5">
        <v>23593.855</v>
      </c>
      <c r="E158" s="10">
        <f t="shared" si="7"/>
        <v>-2.5492350075493829E-3</v>
      </c>
      <c r="F158" s="24">
        <f t="shared" si="8"/>
        <v>-1.0700472964702491E-3</v>
      </c>
    </row>
    <row r="159" spans="1:6" x14ac:dyDescent="0.3">
      <c r="A159" s="3">
        <v>46003</v>
      </c>
      <c r="B159" s="4">
        <v>94.241249999999994</v>
      </c>
      <c r="C159" s="10">
        <f t="shared" si="6"/>
        <v>-2.8866218409459878E-2</v>
      </c>
      <c r="D159" s="5">
        <v>23195.169000000002</v>
      </c>
      <c r="E159" s="10">
        <f t="shared" si="7"/>
        <v>-1.6897874467737377E-2</v>
      </c>
      <c r="F159" s="24">
        <f t="shared" si="8"/>
        <v>-1.1968343941722501E-2</v>
      </c>
    </row>
    <row r="160" spans="1:6" x14ac:dyDescent="0.3">
      <c r="A160" s="3">
        <v>46006</v>
      </c>
      <c r="B160" s="4">
        <v>93.188749999999999</v>
      </c>
      <c r="C160" s="10">
        <f t="shared" si="6"/>
        <v>-1.1168145583807462E-2</v>
      </c>
      <c r="D160" s="5">
        <v>23057.413</v>
      </c>
      <c r="E160" s="10">
        <f t="shared" si="7"/>
        <v>-5.9389953140673909E-3</v>
      </c>
      <c r="F160" s="24">
        <f t="shared" si="8"/>
        <v>-5.2291502697400707E-3</v>
      </c>
    </row>
    <row r="161" spans="1:6" x14ac:dyDescent="0.3">
      <c r="A161" s="3">
        <v>46007</v>
      </c>
      <c r="B161" s="4">
        <v>93.334999999999994</v>
      </c>
      <c r="C161" s="10">
        <f t="shared" si="6"/>
        <v>1.569395447411784E-3</v>
      </c>
      <c r="D161" s="5">
        <v>23111.462</v>
      </c>
      <c r="E161" s="10">
        <f t="shared" si="7"/>
        <v>2.3441051257571291E-3</v>
      </c>
      <c r="F161" s="24">
        <f t="shared" si="8"/>
        <v>-7.7470967834534512E-4</v>
      </c>
    </row>
    <row r="162" spans="1:6" x14ac:dyDescent="0.3">
      <c r="A162" s="3">
        <v>46008</v>
      </c>
      <c r="B162" s="4">
        <v>91.302499999999995</v>
      </c>
      <c r="C162" s="10">
        <f t="shared" si="6"/>
        <v>-2.1776396850056237E-2</v>
      </c>
      <c r="D162" s="5">
        <v>22693.323</v>
      </c>
      <c r="E162" s="10">
        <f t="shared" si="7"/>
        <v>-1.8092278195122369E-2</v>
      </c>
      <c r="F162" s="24">
        <f t="shared" si="8"/>
        <v>-3.6841186549338677E-3</v>
      </c>
    </row>
    <row r="163" spans="1:6" x14ac:dyDescent="0.3">
      <c r="A163" s="3">
        <v>46009</v>
      </c>
      <c r="B163" s="4">
        <v>92.577500000000001</v>
      </c>
      <c r="C163" s="10">
        <f t="shared" si="6"/>
        <v>1.396456833054961E-2</v>
      </c>
      <c r="D163" s="5">
        <v>23006.361000000001</v>
      </c>
      <c r="E163" s="10">
        <f t="shared" si="7"/>
        <v>1.3794277726536588E-2</v>
      </c>
      <c r="F163" s="24">
        <f t="shared" si="8"/>
        <v>1.7029060401302192E-4</v>
      </c>
    </row>
    <row r="164" spans="1:6" x14ac:dyDescent="0.3">
      <c r="A164" s="3">
        <v>46010</v>
      </c>
      <c r="B164" s="4">
        <v>94.442499999999995</v>
      </c>
      <c r="C164" s="10">
        <f t="shared" si="6"/>
        <v>2.0145283681239988E-2</v>
      </c>
      <c r="D164" s="5">
        <v>23307.62</v>
      </c>
      <c r="E164" s="10">
        <f t="shared" si="7"/>
        <v>1.3094595881547638E-2</v>
      </c>
      <c r="F164" s="24">
        <f t="shared" si="8"/>
        <v>7.0506877996923505E-3</v>
      </c>
    </row>
    <row r="165" spans="1:6" x14ac:dyDescent="0.3">
      <c r="A165" s="3">
        <v>46013</v>
      </c>
      <c r="B165" s="4">
        <v>95.097499999999997</v>
      </c>
      <c r="C165" s="10">
        <f t="shared" si="6"/>
        <v>6.9354369060539607E-3</v>
      </c>
      <c r="D165" s="5">
        <v>23428.829000000002</v>
      </c>
      <c r="E165" s="10">
        <f t="shared" si="7"/>
        <v>5.2004022718751446E-3</v>
      </c>
      <c r="F165" s="24">
        <f t="shared" si="8"/>
        <v>1.7350346341788161E-3</v>
      </c>
    </row>
    <row r="166" spans="1:6" x14ac:dyDescent="0.3">
      <c r="A166" s="3">
        <v>46014</v>
      </c>
      <c r="B166" s="4">
        <v>95.628749999999997</v>
      </c>
      <c r="C166" s="10">
        <f t="shared" si="6"/>
        <v>5.5863718814900499E-3</v>
      </c>
      <c r="D166" s="5">
        <v>23561.844000000001</v>
      </c>
      <c r="E166" s="10">
        <f t="shared" si="7"/>
        <v>5.6774070953353843E-3</v>
      </c>
      <c r="F166" s="24">
        <f t="shared" si="8"/>
        <v>-9.1035213845334396E-5</v>
      </c>
    </row>
    <row r="167" spans="1:6" x14ac:dyDescent="0.3">
      <c r="A167" s="3">
        <v>46015</v>
      </c>
      <c r="B167" s="4">
        <v>95.79</v>
      </c>
      <c r="C167" s="10">
        <f t="shared" si="6"/>
        <v>1.6862083839850428E-3</v>
      </c>
      <c r="D167" s="5">
        <v>23613.307000000001</v>
      </c>
      <c r="E167" s="10">
        <f t="shared" si="7"/>
        <v>2.1841669098564501E-3</v>
      </c>
      <c r="F167" s="24">
        <f t="shared" si="8"/>
        <v>-4.9795852587140735E-4</v>
      </c>
    </row>
    <row r="168" spans="1:6" x14ac:dyDescent="0.3">
      <c r="A168" s="3">
        <v>46017</v>
      </c>
      <c r="B168" s="4">
        <v>95.896249999999995</v>
      </c>
      <c r="C168" s="10">
        <f t="shared" si="6"/>
        <v>1.1091972022130559E-3</v>
      </c>
      <c r="D168" s="5">
        <v>23593.097000000002</v>
      </c>
      <c r="E168" s="10">
        <f t="shared" si="7"/>
        <v>-8.5587334294172032E-4</v>
      </c>
      <c r="F168" s="24">
        <f t="shared" si="8"/>
        <v>1.9650705451547761E-3</v>
      </c>
    </row>
    <row r="169" spans="1:6" x14ac:dyDescent="0.3">
      <c r="A169" s="3">
        <v>46020</v>
      </c>
      <c r="B169" s="4">
        <v>95.387500000000003</v>
      </c>
      <c r="C169" s="10">
        <f t="shared" si="6"/>
        <v>-5.3052126647287262E-3</v>
      </c>
      <c r="D169" s="5">
        <v>23474.348999999998</v>
      </c>
      <c r="E169" s="10">
        <f t="shared" si="7"/>
        <v>-5.0331671166359898E-3</v>
      </c>
      <c r="F169" s="24">
        <f t="shared" si="8"/>
        <v>-2.720455480927364E-4</v>
      </c>
    </row>
    <row r="170" spans="1:6" x14ac:dyDescent="0.3">
      <c r="A170" s="3">
        <v>46021</v>
      </c>
      <c r="B170" s="4">
        <v>95.111249999999998</v>
      </c>
      <c r="C170" s="10">
        <f t="shared" si="6"/>
        <v>-2.8960817717206609E-3</v>
      </c>
      <c r="D170" s="5">
        <v>23419.08</v>
      </c>
      <c r="E170" s="10">
        <f t="shared" si="7"/>
        <v>-2.3544422893259616E-3</v>
      </c>
      <c r="F170" s="24">
        <f t="shared" si="8"/>
        <v>-5.4163948239469928E-4</v>
      </c>
    </row>
    <row r="171" spans="1:6" x14ac:dyDescent="0.3">
      <c r="A171" s="3">
        <v>46022</v>
      </c>
      <c r="B171" s="4">
        <v>94.222499999999997</v>
      </c>
      <c r="C171" s="10">
        <f t="shared" si="6"/>
        <v>-9.3443204668217667E-3</v>
      </c>
      <c r="D171" s="5">
        <v>23241.991000000002</v>
      </c>
      <c r="E171" s="10">
        <f t="shared" si="7"/>
        <v>-7.5617402562355111E-3</v>
      </c>
      <c r="F171" s="24">
        <f t="shared" si="8"/>
        <v>-1.7825802105862557E-3</v>
      </c>
    </row>
    <row r="172" spans="1:6" x14ac:dyDescent="0.3">
      <c r="A172" s="3">
        <v>46024</v>
      </c>
      <c r="B172" s="4">
        <v>94.497500000000002</v>
      </c>
      <c r="C172" s="10">
        <f t="shared" si="6"/>
        <v>2.9186234710393559E-3</v>
      </c>
      <c r="D172" s="5">
        <v>23235.629000000001</v>
      </c>
      <c r="E172" s="10">
        <f t="shared" si="7"/>
        <v>-2.7372870078131383E-4</v>
      </c>
      <c r="F172" s="24">
        <f t="shared" si="8"/>
        <v>3.1923521718206695E-3</v>
      </c>
    </row>
    <row r="173" spans="1:6" x14ac:dyDescent="0.3">
      <c r="A173" s="3">
        <v>46027</v>
      </c>
      <c r="B173" s="4">
        <v>94.677499999999995</v>
      </c>
      <c r="C173" s="10">
        <f t="shared" si="6"/>
        <v>1.9048122966215256E-3</v>
      </c>
      <c r="D173" s="5">
        <v>23395.822</v>
      </c>
      <c r="E173" s="10">
        <f t="shared" si="7"/>
        <v>6.8942829135376239E-3</v>
      </c>
      <c r="F173" s="24">
        <f t="shared" si="8"/>
        <v>-4.9894706169160983E-3</v>
      </c>
    </row>
    <row r="174" spans="1:6" x14ac:dyDescent="0.3">
      <c r="A174" s="3">
        <v>46028</v>
      </c>
      <c r="B174" s="4">
        <v>95.811250000000001</v>
      </c>
      <c r="C174" s="10">
        <f t="shared" si="6"/>
        <v>1.1974862031633771E-2</v>
      </c>
      <c r="D174" s="5">
        <v>23547.172999999999</v>
      </c>
      <c r="E174" s="10">
        <f t="shared" si="7"/>
        <v>6.4691464997467816E-3</v>
      </c>
      <c r="F174" s="24">
        <f t="shared" si="8"/>
        <v>5.5057155318869897E-3</v>
      </c>
    </row>
    <row r="175" spans="1:6" x14ac:dyDescent="0.3">
      <c r="A175" s="3">
        <v>46029</v>
      </c>
      <c r="B175" s="4">
        <v>95.762500000000003</v>
      </c>
      <c r="C175" s="10">
        <f t="shared" si="6"/>
        <v>-5.088129003639791E-4</v>
      </c>
      <c r="D175" s="5">
        <v>23584.275000000001</v>
      </c>
      <c r="E175" s="10">
        <f t="shared" si="7"/>
        <v>1.5756456199647658E-3</v>
      </c>
      <c r="F175" s="24">
        <f t="shared" si="8"/>
        <v>-2.0844585203287449E-3</v>
      </c>
    </row>
    <row r="176" spans="1:6" x14ac:dyDescent="0.3">
      <c r="A176" s="3">
        <v>46030</v>
      </c>
      <c r="B176" s="4">
        <v>94.351249999999993</v>
      </c>
      <c r="C176" s="10">
        <f t="shared" si="6"/>
        <v>-1.4736979506591929E-2</v>
      </c>
      <c r="D176" s="5">
        <v>23480.016</v>
      </c>
      <c r="E176" s="10">
        <f t="shared" si="7"/>
        <v>-4.4206998095129837E-3</v>
      </c>
      <c r="F176" s="24">
        <f t="shared" si="8"/>
        <v>-1.0316279697078944E-2</v>
      </c>
    </row>
    <row r="177" spans="1:6" x14ac:dyDescent="0.3">
      <c r="A177" s="3">
        <v>46031</v>
      </c>
      <c r="B177" s="4">
        <v>95.245000000000005</v>
      </c>
      <c r="C177" s="10">
        <f t="shared" si="6"/>
        <v>9.4725825042064771E-3</v>
      </c>
      <c r="D177" s="5">
        <v>23671.346000000001</v>
      </c>
      <c r="E177" s="10">
        <f t="shared" si="7"/>
        <v>8.148631585259641E-3</v>
      </c>
      <c r="F177" s="24">
        <f t="shared" si="8"/>
        <v>1.3239509189468361E-3</v>
      </c>
    </row>
    <row r="178" spans="1:6" x14ac:dyDescent="0.3">
      <c r="A178" s="3">
        <v>46034</v>
      </c>
      <c r="B178" s="4">
        <v>95.688749999999999</v>
      </c>
      <c r="C178" s="10">
        <f t="shared" si="6"/>
        <v>4.6590372198015047E-3</v>
      </c>
      <c r="D178" s="5">
        <v>23733.903999999999</v>
      </c>
      <c r="E178" s="10">
        <f t="shared" si="7"/>
        <v>2.6427732499874432E-3</v>
      </c>
      <c r="F178" s="24">
        <f t="shared" si="8"/>
        <v>2.0162639698140614E-3</v>
      </c>
    </row>
    <row r="179" spans="1:6" x14ac:dyDescent="0.3">
      <c r="A179" s="3">
        <v>46035</v>
      </c>
      <c r="B179" s="4">
        <v>95.551249999999996</v>
      </c>
      <c r="C179" s="10">
        <f t="shared" si="6"/>
        <v>-1.4369505297122478E-3</v>
      </c>
      <c r="D179" s="5">
        <v>23709.873</v>
      </c>
      <c r="E179" s="10">
        <f t="shared" si="7"/>
        <v>-1.0125177888980692E-3</v>
      </c>
      <c r="F179" s="24">
        <f t="shared" si="8"/>
        <v>-4.2443274081417864E-4</v>
      </c>
    </row>
    <row r="180" spans="1:6" x14ac:dyDescent="0.3">
      <c r="A180" s="3">
        <v>46036</v>
      </c>
      <c r="B180" s="4">
        <v>94.41</v>
      </c>
      <c r="C180" s="10">
        <f t="shared" si="6"/>
        <v>-1.1943852121243829E-2</v>
      </c>
      <c r="D180" s="5">
        <v>23471.749</v>
      </c>
      <c r="E180" s="10">
        <f t="shared" si="7"/>
        <v>-1.0043242323567056E-2</v>
      </c>
      <c r="F180" s="24">
        <f t="shared" si="8"/>
        <v>-1.9006097976767729E-3</v>
      </c>
    </row>
    <row r="181" spans="1:6" x14ac:dyDescent="0.3">
      <c r="A181" s="3">
        <v>46037</v>
      </c>
      <c r="B181" s="4">
        <v>94.918750000000003</v>
      </c>
      <c r="C181" s="10">
        <f t="shared" si="6"/>
        <v>5.3887300074145356E-3</v>
      </c>
      <c r="D181" s="5">
        <v>23530.022000000001</v>
      </c>
      <c r="E181" s="10">
        <f t="shared" si="7"/>
        <v>2.4826867397057225E-3</v>
      </c>
      <c r="F181" s="24">
        <f t="shared" si="8"/>
        <v>2.9060432677088131E-3</v>
      </c>
    </row>
    <row r="182" spans="1:6" x14ac:dyDescent="0.3">
      <c r="A182" s="3">
        <v>46038</v>
      </c>
      <c r="B182" s="4">
        <v>94.868750000000006</v>
      </c>
      <c r="C182" s="10">
        <f t="shared" si="6"/>
        <v>-5.2676631329423487E-4</v>
      </c>
      <c r="D182" s="5">
        <v>23515.387999999999</v>
      </c>
      <c r="E182" s="10">
        <f t="shared" si="7"/>
        <v>-6.2192887027482735E-4</v>
      </c>
      <c r="F182" s="24">
        <f t="shared" si="8"/>
        <v>9.5162556980592488E-5</v>
      </c>
    </row>
    <row r="183" spans="1:6" x14ac:dyDescent="0.3">
      <c r="A183" s="3">
        <v>46042</v>
      </c>
      <c r="B183" s="4">
        <v>92.336250000000007</v>
      </c>
      <c r="C183" s="10">
        <f t="shared" si="6"/>
        <v>-2.669477567692205E-2</v>
      </c>
      <c r="D183" s="5">
        <v>22954.322</v>
      </c>
      <c r="E183" s="10">
        <f t="shared" si="7"/>
        <v>-2.3859525515802629E-2</v>
      </c>
      <c r="F183" s="24">
        <f t="shared" si="8"/>
        <v>-2.8352501611194209E-3</v>
      </c>
    </row>
    <row r="184" spans="1:6" x14ac:dyDescent="0.3">
      <c r="A184" s="3">
        <v>46043</v>
      </c>
      <c r="B184" s="4">
        <v>93.575000000000003</v>
      </c>
      <c r="C184" s="10">
        <f t="shared" si="6"/>
        <v>1.3415641202669547E-2</v>
      </c>
      <c r="D184" s="5">
        <v>23224.825000000001</v>
      </c>
      <c r="E184" s="10">
        <f t="shared" si="7"/>
        <v>1.1784403825998459E-2</v>
      </c>
      <c r="F184" s="24">
        <f t="shared" si="8"/>
        <v>1.6312373766710873E-3</v>
      </c>
    </row>
    <row r="185" spans="1:6" x14ac:dyDescent="0.3">
      <c r="A185" s="3">
        <v>46044</v>
      </c>
      <c r="B185" s="4">
        <v>94.28125</v>
      </c>
      <c r="C185" s="10">
        <f t="shared" si="6"/>
        <v>7.5474218541276743E-3</v>
      </c>
      <c r="D185" s="5">
        <v>23436.02</v>
      </c>
      <c r="E185" s="10">
        <f t="shared" si="7"/>
        <v>9.0935023191778489E-3</v>
      </c>
      <c r="F185" s="24">
        <f t="shared" si="8"/>
        <v>-1.5460804650501746E-3</v>
      </c>
    </row>
    <row r="186" spans="1:6" x14ac:dyDescent="0.3">
      <c r="A186" s="3">
        <v>46045</v>
      </c>
      <c r="B186" s="4">
        <v>94.373750000000001</v>
      </c>
      <c r="C186" s="10">
        <f t="shared" si="6"/>
        <v>9.8110705999338303E-4</v>
      </c>
      <c r="D186" s="5">
        <v>23501.243999999999</v>
      </c>
      <c r="E186" s="10">
        <f t="shared" si="7"/>
        <v>2.7830664080333752E-3</v>
      </c>
      <c r="F186" s="24">
        <f t="shared" si="8"/>
        <v>-1.8019593480399921E-3</v>
      </c>
    </row>
    <row r="187" spans="1:6" x14ac:dyDescent="0.3">
      <c r="A187" s="3">
        <v>46048</v>
      </c>
      <c r="B187" s="4">
        <v>95.053749999999994</v>
      </c>
      <c r="C187" s="10">
        <f t="shared" si="6"/>
        <v>7.2053934489197747E-3</v>
      </c>
      <c r="D187" s="5">
        <v>23601.356</v>
      </c>
      <c r="E187" s="10">
        <f t="shared" si="7"/>
        <v>4.2598596057298495E-3</v>
      </c>
      <c r="F187" s="24">
        <f t="shared" si="8"/>
        <v>2.9455338431899252E-3</v>
      </c>
    </row>
    <row r="188" spans="1:6" x14ac:dyDescent="0.3">
      <c r="A188" s="3">
        <v>46049</v>
      </c>
      <c r="B188" s="4">
        <v>96.237499999999997</v>
      </c>
      <c r="C188" s="10">
        <f t="shared" si="6"/>
        <v>1.2453480267743287E-2</v>
      </c>
      <c r="D188" s="5">
        <v>23817.098000000002</v>
      </c>
      <c r="E188" s="10">
        <f t="shared" si="7"/>
        <v>9.1410849444414129E-3</v>
      </c>
      <c r="F188" s="24">
        <f t="shared" si="8"/>
        <v>3.3123953233018741E-3</v>
      </c>
    </row>
    <row r="189" spans="1:6" x14ac:dyDescent="0.3">
      <c r="A189" s="3">
        <v>46050</v>
      </c>
      <c r="B189" s="4">
        <v>96.897499999999994</v>
      </c>
      <c r="C189" s="10">
        <f t="shared" si="6"/>
        <v>6.8580335108455294E-3</v>
      </c>
      <c r="D189" s="5">
        <v>23857.447</v>
      </c>
      <c r="E189" s="10">
        <f t="shared" si="7"/>
        <v>1.6941190736167076E-3</v>
      </c>
      <c r="F189" s="24">
        <f t="shared" si="8"/>
        <v>5.1639144372288221E-3</v>
      </c>
    </row>
    <row r="190" spans="1:6" x14ac:dyDescent="0.3">
      <c r="A190" s="3">
        <v>46051</v>
      </c>
      <c r="B190" s="4">
        <v>95.1</v>
      </c>
      <c r="C190" s="10">
        <f t="shared" si="6"/>
        <v>-1.8550530199437545E-2</v>
      </c>
      <c r="D190" s="5">
        <v>23685.119999999999</v>
      </c>
      <c r="E190" s="10">
        <f t="shared" si="7"/>
        <v>-7.2231953402223268E-3</v>
      </c>
      <c r="F190" s="24">
        <f t="shared" si="8"/>
        <v>-1.1327334859215218E-2</v>
      </c>
    </row>
    <row r="191" spans="1:6" x14ac:dyDescent="0.3">
      <c r="A191" s="3">
        <v>46052</v>
      </c>
      <c r="B191" s="4">
        <v>93.49</v>
      </c>
      <c r="C191" s="10">
        <f t="shared" si="6"/>
        <v>-1.6929547844374337E-2</v>
      </c>
      <c r="D191" s="5">
        <v>23461.815999999999</v>
      </c>
      <c r="E191" s="10">
        <f t="shared" si="7"/>
        <v>-9.4280290747946437E-3</v>
      </c>
      <c r="F191" s="24">
        <f t="shared" si="8"/>
        <v>-7.5015187695796938E-3</v>
      </c>
    </row>
    <row r="192" spans="1:6" x14ac:dyDescent="0.3">
      <c r="A192" s="3">
        <v>46055</v>
      </c>
      <c r="B192" s="4">
        <v>94.131249999999994</v>
      </c>
      <c r="C192" s="10">
        <f t="shared" si="6"/>
        <v>6.8590223553321155E-3</v>
      </c>
      <c r="D192" s="5">
        <v>23592.107</v>
      </c>
      <c r="E192" s="10">
        <f t="shared" si="7"/>
        <v>5.5533211921873857E-3</v>
      </c>
      <c r="F192" s="24">
        <f t="shared" si="8"/>
        <v>1.3057011631447298E-3</v>
      </c>
    </row>
    <row r="193" spans="1:6" x14ac:dyDescent="0.3">
      <c r="A193" s="3">
        <v>46056</v>
      </c>
      <c r="B193" s="4">
        <v>92.055000000000007</v>
      </c>
      <c r="C193" s="10">
        <f t="shared" si="6"/>
        <v>-2.2056968328796098E-2</v>
      </c>
      <c r="D193" s="5">
        <v>23255.185000000001</v>
      </c>
      <c r="E193" s="10">
        <f t="shared" si="7"/>
        <v>-1.4281132244779945E-2</v>
      </c>
      <c r="F193" s="24">
        <f t="shared" si="8"/>
        <v>-7.7758360840161529E-3</v>
      </c>
    </row>
    <row r="194" spans="1:6" x14ac:dyDescent="0.3">
      <c r="A194" s="3">
        <v>46057</v>
      </c>
      <c r="B194" s="4">
        <v>90.21875</v>
      </c>
      <c r="C194" s="10">
        <f t="shared" si="6"/>
        <v>-1.9947314105697753E-2</v>
      </c>
      <c r="D194" s="5">
        <v>22904.579000000002</v>
      </c>
      <c r="E194" s="10">
        <f t="shared" si="7"/>
        <v>-1.5076465743016009E-2</v>
      </c>
      <c r="F194" s="24">
        <f t="shared" si="8"/>
        <v>-4.8708483626817446E-3</v>
      </c>
    </row>
    <row r="195" spans="1:6" x14ac:dyDescent="0.3">
      <c r="A195" s="3">
        <v>46058</v>
      </c>
      <c r="B195" s="4">
        <v>88.566249999999997</v>
      </c>
      <c r="C195" s="10">
        <f t="shared" si="6"/>
        <v>-1.8316591617596158E-2</v>
      </c>
      <c r="D195" s="5">
        <v>22540.585999999999</v>
      </c>
      <c r="E195" s="10">
        <f t="shared" si="7"/>
        <v>-1.5891713181019489E-2</v>
      </c>
      <c r="F195" s="24">
        <f t="shared" si="8"/>
        <v>-2.424878436576669E-3</v>
      </c>
    </row>
    <row r="196" spans="1:6" x14ac:dyDescent="0.3">
      <c r="A196" s="3">
        <v>46059</v>
      </c>
      <c r="B196" s="4">
        <v>92.442499999999995</v>
      </c>
      <c r="C196" s="10">
        <f t="shared" ref="C196:C253" si="9">(B196-B195)/B195</f>
        <v>4.3766671841700411E-2</v>
      </c>
      <c r="D196" s="5">
        <v>23031.213</v>
      </c>
      <c r="E196" s="10">
        <f t="shared" ref="E196:E253" si="10">(D196-D195)/D195</f>
        <v>2.176638176132601E-2</v>
      </c>
      <c r="F196" s="24">
        <f t="shared" ref="F196:F253" si="11">C196-E196</f>
        <v>2.20002900803744E-2</v>
      </c>
    </row>
    <row r="197" spans="1:6" x14ac:dyDescent="0.3">
      <c r="A197" s="3">
        <v>46062</v>
      </c>
      <c r="B197" s="4">
        <v>93.933750000000003</v>
      </c>
      <c r="C197" s="10">
        <f t="shared" si="9"/>
        <v>1.6131649403683456E-2</v>
      </c>
      <c r="D197" s="5">
        <v>23238.67</v>
      </c>
      <c r="E197" s="10">
        <f t="shared" si="10"/>
        <v>9.0076454071263429E-3</v>
      </c>
      <c r="F197" s="24">
        <f t="shared" si="11"/>
        <v>7.1240039965571132E-3</v>
      </c>
    </row>
    <row r="198" spans="1:6" x14ac:dyDescent="0.3">
      <c r="A198" s="3">
        <v>46063</v>
      </c>
      <c r="B198" s="4">
        <v>93.53125</v>
      </c>
      <c r="C198" s="10">
        <f t="shared" si="9"/>
        <v>-4.2849348610057986E-3</v>
      </c>
      <c r="D198" s="5">
        <v>23102.473999999998</v>
      </c>
      <c r="E198" s="10">
        <f t="shared" si="10"/>
        <v>-5.8607484851757831E-3</v>
      </c>
      <c r="F198" s="24">
        <f t="shared" si="11"/>
        <v>1.5758136241699845E-3</v>
      </c>
    </row>
    <row r="199" spans="1:6" x14ac:dyDescent="0.3">
      <c r="A199" s="3">
        <v>46064</v>
      </c>
      <c r="B199" s="4">
        <v>93.597499999999997</v>
      </c>
      <c r="C199" s="10">
        <f t="shared" si="9"/>
        <v>7.0831941196120647E-4</v>
      </c>
      <c r="D199" s="5">
        <v>23066.467000000001</v>
      </c>
      <c r="E199" s="10">
        <f t="shared" si="10"/>
        <v>-1.5585776657512001E-3</v>
      </c>
      <c r="F199" s="24">
        <f t="shared" si="11"/>
        <v>2.2668970777124063E-3</v>
      </c>
    </row>
    <row r="200" spans="1:6" x14ac:dyDescent="0.3">
      <c r="A200" s="3">
        <v>46065</v>
      </c>
      <c r="B200" s="4">
        <v>91.204999999999998</v>
      </c>
      <c r="C200" s="10">
        <f t="shared" si="9"/>
        <v>-2.5561580170410516E-2</v>
      </c>
      <c r="D200" s="5">
        <v>22597.148000000001</v>
      </c>
      <c r="E200" s="10">
        <f t="shared" si="10"/>
        <v>-2.0346375541603293E-2</v>
      </c>
      <c r="F200" s="24">
        <f t="shared" si="11"/>
        <v>-5.2152046288072226E-3</v>
      </c>
    </row>
    <row r="201" spans="1:6" x14ac:dyDescent="0.3">
      <c r="A201" s="3">
        <v>46066</v>
      </c>
      <c r="B201" s="4">
        <v>91.35</v>
      </c>
      <c r="C201" s="10">
        <f t="shared" si="9"/>
        <v>1.5898251192368402E-3</v>
      </c>
      <c r="D201" s="5">
        <v>22546.670999999998</v>
      </c>
      <c r="E201" s="10">
        <f t="shared" si="10"/>
        <v>-2.2337774660768071E-3</v>
      </c>
      <c r="F201" s="24">
        <f t="shared" si="11"/>
        <v>3.8236025853136471E-3</v>
      </c>
    </row>
    <row r="202" spans="1:6" x14ac:dyDescent="0.3">
      <c r="A202" s="3">
        <v>46070</v>
      </c>
      <c r="B202" s="4">
        <v>91.385000000000005</v>
      </c>
      <c r="C202" s="10">
        <f t="shared" si="9"/>
        <v>3.8314176245222552E-4</v>
      </c>
      <c r="D202" s="5">
        <v>22578.383999999998</v>
      </c>
      <c r="E202" s="10">
        <f t="shared" si="10"/>
        <v>1.4065491087353755E-3</v>
      </c>
      <c r="F202" s="24">
        <f t="shared" si="11"/>
        <v>-1.02340734628315E-3</v>
      </c>
    </row>
    <row r="203" spans="1:6" x14ac:dyDescent="0.3">
      <c r="A203" s="3">
        <v>46071</v>
      </c>
      <c r="B203" s="4">
        <v>92.23</v>
      </c>
      <c r="C203" s="10">
        <f t="shared" si="9"/>
        <v>9.2465940799912327E-3</v>
      </c>
      <c r="D203" s="5">
        <v>22753.634999999998</v>
      </c>
      <c r="E203" s="10">
        <f t="shared" si="10"/>
        <v>7.7618929680707098E-3</v>
      </c>
      <c r="F203" s="24">
        <f t="shared" si="11"/>
        <v>1.4847011119205229E-3</v>
      </c>
    </row>
    <row r="204" spans="1:6" x14ac:dyDescent="0.3">
      <c r="A204" s="3">
        <v>46072</v>
      </c>
      <c r="B204" s="4">
        <v>91.831249999999997</v>
      </c>
      <c r="C204" s="10">
        <f t="shared" si="9"/>
        <v>-4.3234305540497319E-3</v>
      </c>
      <c r="D204" s="5">
        <v>22682.728999999999</v>
      </c>
      <c r="E204" s="10">
        <f t="shared" si="10"/>
        <v>-3.1162493377431362E-3</v>
      </c>
      <c r="F204" s="24">
        <f t="shared" si="11"/>
        <v>-1.2071812163065958E-3</v>
      </c>
    </row>
    <row r="205" spans="1:6" x14ac:dyDescent="0.3">
      <c r="A205" s="3">
        <v>46073</v>
      </c>
      <c r="B205" s="4">
        <v>92.2</v>
      </c>
      <c r="C205" s="10">
        <f t="shared" si="9"/>
        <v>4.0155175934118905E-3</v>
      </c>
      <c r="D205" s="5">
        <v>22886.069</v>
      </c>
      <c r="E205" s="10">
        <f t="shared" si="10"/>
        <v>8.9645297970980548E-3</v>
      </c>
      <c r="F205" s="24">
        <f t="shared" si="11"/>
        <v>-4.9490122036861643E-3</v>
      </c>
    </row>
    <row r="206" spans="1:6" x14ac:dyDescent="0.3">
      <c r="A206" s="3">
        <v>46076</v>
      </c>
      <c r="B206" s="4">
        <v>90.856250000000003</v>
      </c>
      <c r="C206" s="10">
        <f t="shared" si="9"/>
        <v>-1.4574295010845987E-2</v>
      </c>
      <c r="D206" s="5">
        <v>22627.273000000001</v>
      </c>
      <c r="E206" s="10">
        <f t="shared" si="10"/>
        <v>-1.1308014495630441E-2</v>
      </c>
      <c r="F206" s="24">
        <f t="shared" si="11"/>
        <v>-3.2662805152155455E-3</v>
      </c>
    </row>
    <row r="207" spans="1:6" x14ac:dyDescent="0.3">
      <c r="A207" s="3">
        <v>46077</v>
      </c>
      <c r="B207" s="4">
        <v>92.162499999999994</v>
      </c>
      <c r="C207" s="10">
        <f t="shared" si="9"/>
        <v>1.4377106693265366E-2</v>
      </c>
      <c r="D207" s="5">
        <v>22863.682000000001</v>
      </c>
      <c r="E207" s="10">
        <f t="shared" si="10"/>
        <v>1.0447966929112476E-2</v>
      </c>
      <c r="F207" s="24">
        <f t="shared" si="11"/>
        <v>3.9291397641528902E-3</v>
      </c>
    </row>
    <row r="208" spans="1:6" x14ac:dyDescent="0.3">
      <c r="A208" s="3">
        <v>46078</v>
      </c>
      <c r="B208" s="4">
        <v>93.907499999999999</v>
      </c>
      <c r="C208" s="10">
        <f t="shared" si="9"/>
        <v>1.8933948189339533E-2</v>
      </c>
      <c r="D208" s="5">
        <v>23152.077000000001</v>
      </c>
      <c r="E208" s="10">
        <f t="shared" si="10"/>
        <v>1.2613672635929787E-2</v>
      </c>
      <c r="F208" s="24">
        <f t="shared" si="11"/>
        <v>6.3202755534097453E-3</v>
      </c>
    </row>
    <row r="209" spans="1:6" x14ac:dyDescent="0.3">
      <c r="A209" s="3">
        <v>46079</v>
      </c>
      <c r="B209" s="4">
        <v>92.523750000000007</v>
      </c>
      <c r="C209" s="10">
        <f t="shared" si="9"/>
        <v>-1.4735244788754808E-2</v>
      </c>
      <c r="D209" s="5">
        <v>22878.383000000002</v>
      </c>
      <c r="E209" s="10">
        <f t="shared" si="10"/>
        <v>-1.1821574366740379E-2</v>
      </c>
      <c r="F209" s="24">
        <f t="shared" si="11"/>
        <v>-2.9136704220144288E-3</v>
      </c>
    </row>
    <row r="210" spans="1:6" x14ac:dyDescent="0.3">
      <c r="A210" s="3">
        <v>46080</v>
      </c>
      <c r="B210" s="4">
        <v>90.837500000000006</v>
      </c>
      <c r="C210" s="10">
        <f t="shared" si="9"/>
        <v>-1.8225050324916586E-2</v>
      </c>
      <c r="D210" s="5">
        <v>22668.212</v>
      </c>
      <c r="E210" s="10">
        <f t="shared" si="10"/>
        <v>-9.1864446888576898E-3</v>
      </c>
      <c r="F210" s="24">
        <f t="shared" si="11"/>
        <v>-9.0386056360588964E-3</v>
      </c>
    </row>
    <row r="211" spans="1:6" x14ac:dyDescent="0.3">
      <c r="A211" s="3">
        <v>46083</v>
      </c>
      <c r="B211" s="4">
        <v>91.736249999999998</v>
      </c>
      <c r="C211" s="10">
        <f t="shared" si="9"/>
        <v>9.894041557726628E-3</v>
      </c>
      <c r="D211" s="5">
        <v>22748.857</v>
      </c>
      <c r="E211" s="10">
        <f t="shared" si="10"/>
        <v>3.5576251007357986E-3</v>
      </c>
      <c r="F211" s="24">
        <f t="shared" si="11"/>
        <v>6.3364164569908298E-3</v>
      </c>
    </row>
    <row r="212" spans="1:6" x14ac:dyDescent="0.3">
      <c r="A212" s="3">
        <v>46084</v>
      </c>
      <c r="B212" s="4">
        <v>90.46</v>
      </c>
      <c r="C212" s="10">
        <f t="shared" si="9"/>
        <v>-1.3912166673479727E-2</v>
      </c>
      <c r="D212" s="5">
        <v>22516.690999999999</v>
      </c>
      <c r="E212" s="10">
        <f t="shared" si="10"/>
        <v>-1.0205611648972126E-2</v>
      </c>
      <c r="F212" s="24">
        <f t="shared" si="11"/>
        <v>-3.7065550245076011E-3</v>
      </c>
    </row>
    <row r="213" spans="1:6" x14ac:dyDescent="0.3">
      <c r="A213" s="3">
        <v>46085</v>
      </c>
      <c r="B213" s="4">
        <v>91.641249999999999</v>
      </c>
      <c r="C213" s="10">
        <f t="shared" si="9"/>
        <v>1.3058257793499953E-2</v>
      </c>
      <c r="D213" s="5">
        <v>22807.484</v>
      </c>
      <c r="E213" s="10">
        <f t="shared" si="10"/>
        <v>1.2914553030905006E-2</v>
      </c>
      <c r="F213" s="24">
        <f t="shared" si="11"/>
        <v>1.4370476259494697E-4</v>
      </c>
    </row>
    <row r="214" spans="1:6" x14ac:dyDescent="0.3">
      <c r="A214" s="3">
        <v>46086</v>
      </c>
      <c r="B214" s="4">
        <v>91.658749999999998</v>
      </c>
      <c r="C214" s="10">
        <f t="shared" si="9"/>
        <v>1.9096203947456297E-4</v>
      </c>
      <c r="D214" s="5">
        <v>22748.986000000001</v>
      </c>
      <c r="E214" s="10">
        <f t="shared" si="10"/>
        <v>-2.5648598503894421E-3</v>
      </c>
      <c r="F214" s="24">
        <f t="shared" si="11"/>
        <v>2.7558218898640048E-3</v>
      </c>
    </row>
    <row r="215" spans="1:6" x14ac:dyDescent="0.3">
      <c r="A215" s="3">
        <v>46087</v>
      </c>
      <c r="B215" s="4">
        <v>89.878749999999997</v>
      </c>
      <c r="C215" s="10">
        <f t="shared" si="9"/>
        <v>-1.9419858987821687E-2</v>
      </c>
      <c r="D215" s="5">
        <v>22387.679</v>
      </c>
      <c r="E215" s="10">
        <f t="shared" si="10"/>
        <v>-1.5882334271953954E-2</v>
      </c>
      <c r="F215" s="24">
        <f t="shared" si="11"/>
        <v>-3.5375247158677334E-3</v>
      </c>
    </row>
    <row r="216" spans="1:6" x14ac:dyDescent="0.3">
      <c r="A216" s="3">
        <v>46090</v>
      </c>
      <c r="B216" s="4">
        <v>91.483750000000001</v>
      </c>
      <c r="C216" s="10">
        <f t="shared" si="9"/>
        <v>1.7857391207599171E-2</v>
      </c>
      <c r="D216" s="5">
        <v>22695.946</v>
      </c>
      <c r="E216" s="10">
        <f t="shared" si="10"/>
        <v>1.3769493478980105E-2</v>
      </c>
      <c r="F216" s="24">
        <f t="shared" si="11"/>
        <v>4.0878977286190662E-3</v>
      </c>
    </row>
    <row r="217" spans="1:6" x14ac:dyDescent="0.3">
      <c r="A217" s="3">
        <v>46091</v>
      </c>
      <c r="B217" s="4">
        <v>91.498750000000001</v>
      </c>
      <c r="C217" s="10">
        <f t="shared" si="9"/>
        <v>1.6396354543840374E-4</v>
      </c>
      <c r="D217" s="5">
        <v>22697.103999999999</v>
      </c>
      <c r="E217" s="10">
        <f t="shared" si="10"/>
        <v>5.1022327952289234E-5</v>
      </c>
      <c r="F217" s="24">
        <f t="shared" si="11"/>
        <v>1.1294121748611451E-4</v>
      </c>
    </row>
    <row r="218" spans="1:6" x14ac:dyDescent="0.3">
      <c r="A218" s="3">
        <v>46092</v>
      </c>
      <c r="B218" s="4">
        <v>91.88</v>
      </c>
      <c r="C218" s="10">
        <f t="shared" si="9"/>
        <v>4.1667235891200078E-3</v>
      </c>
      <c r="D218" s="5">
        <v>22716.134999999998</v>
      </c>
      <c r="E218" s="10">
        <f t="shared" si="10"/>
        <v>8.3847701451247002E-4</v>
      </c>
      <c r="F218" s="24">
        <f t="shared" si="11"/>
        <v>3.3282465746075377E-3</v>
      </c>
    </row>
    <row r="219" spans="1:6" x14ac:dyDescent="0.3">
      <c r="A219" s="3">
        <v>46093</v>
      </c>
      <c r="B219" s="4">
        <v>90.082499999999996</v>
      </c>
      <c r="C219" s="10">
        <f t="shared" si="9"/>
        <v>-1.956356116673922E-2</v>
      </c>
      <c r="D219" s="5">
        <v>22311.978999999999</v>
      </c>
      <c r="E219" s="10">
        <f t="shared" si="10"/>
        <v>-1.7791582943137072E-2</v>
      </c>
      <c r="F219" s="24">
        <f t="shared" si="11"/>
        <v>-1.7719782236021477E-3</v>
      </c>
    </row>
    <row r="220" spans="1:6" x14ac:dyDescent="0.3">
      <c r="A220" s="3">
        <v>46094</v>
      </c>
      <c r="B220" s="4">
        <v>89.305000000000007</v>
      </c>
      <c r="C220" s="10">
        <f t="shared" si="9"/>
        <v>-8.6309771598255952E-3</v>
      </c>
      <c r="D220" s="5">
        <v>22105.359</v>
      </c>
      <c r="E220" s="10">
        <f t="shared" si="10"/>
        <v>-9.260496345931438E-3</v>
      </c>
      <c r="F220" s="24">
        <f t="shared" si="11"/>
        <v>6.295191861058428E-4</v>
      </c>
    </row>
    <row r="221" spans="1:6" x14ac:dyDescent="0.3">
      <c r="A221" s="3">
        <v>46097</v>
      </c>
      <c r="B221" s="4">
        <v>90.618750000000006</v>
      </c>
      <c r="C221" s="10">
        <f t="shared" si="9"/>
        <v>1.4710822462348118E-2</v>
      </c>
      <c r="D221" s="5">
        <v>22374.178</v>
      </c>
      <c r="E221" s="10">
        <f t="shared" si="10"/>
        <v>1.2160806798025741E-2</v>
      </c>
      <c r="F221" s="24">
        <f t="shared" si="11"/>
        <v>2.5500156643223776E-3</v>
      </c>
    </row>
    <row r="222" spans="1:6" x14ac:dyDescent="0.3">
      <c r="A222" s="3">
        <v>46098</v>
      </c>
      <c r="B222" s="4">
        <v>90.924999999999997</v>
      </c>
      <c r="C222" s="10">
        <f t="shared" si="9"/>
        <v>3.3795434167872705E-3</v>
      </c>
      <c r="D222" s="5">
        <v>22479.527999999998</v>
      </c>
      <c r="E222" s="10">
        <f t="shared" si="10"/>
        <v>4.7085528684002844E-3</v>
      </c>
      <c r="F222" s="24">
        <f t="shared" si="11"/>
        <v>-1.3290094516130138E-3</v>
      </c>
    </row>
    <row r="223" spans="1:6" x14ac:dyDescent="0.3">
      <c r="A223" s="3">
        <v>46099</v>
      </c>
      <c r="B223" s="4">
        <v>89.981250000000003</v>
      </c>
      <c r="C223" s="10">
        <f t="shared" si="9"/>
        <v>-1.0379433599120092E-2</v>
      </c>
      <c r="D223" s="5">
        <v>22152.420999999998</v>
      </c>
      <c r="E223" s="10">
        <f t="shared" si="10"/>
        <v>-1.4551328657790323E-2</v>
      </c>
      <c r="F223" s="24">
        <f t="shared" si="11"/>
        <v>4.1718950586702302E-3</v>
      </c>
    </row>
    <row r="224" spans="1:6" x14ac:dyDescent="0.3">
      <c r="A224" s="3">
        <v>46100</v>
      </c>
      <c r="B224" s="4">
        <v>90.215000000000003</v>
      </c>
      <c r="C224" s="10">
        <f t="shared" si="9"/>
        <v>2.5977634229353399E-3</v>
      </c>
      <c r="D224" s="5">
        <v>22090.690999999999</v>
      </c>
      <c r="E224" s="10">
        <f t="shared" si="10"/>
        <v>-2.7866028728868761E-3</v>
      </c>
      <c r="F224" s="24">
        <f t="shared" si="11"/>
        <v>5.3843662958222155E-3</v>
      </c>
    </row>
    <row r="225" spans="1:6" x14ac:dyDescent="0.3">
      <c r="A225" s="3">
        <v>46101</v>
      </c>
      <c r="B225" s="4">
        <v>88.141249999999999</v>
      </c>
      <c r="C225" s="10">
        <f t="shared" si="9"/>
        <v>-2.298675386576516E-2</v>
      </c>
      <c r="D225" s="5">
        <v>21647.611000000001</v>
      </c>
      <c r="E225" s="10">
        <f t="shared" si="10"/>
        <v>-2.005731735598484E-2</v>
      </c>
      <c r="F225" s="24">
        <f t="shared" si="11"/>
        <v>-2.9294365097803192E-3</v>
      </c>
    </row>
    <row r="226" spans="1:6" x14ac:dyDescent="0.3">
      <c r="A226" s="3">
        <v>46104</v>
      </c>
      <c r="B226" s="4">
        <v>89.552499999999995</v>
      </c>
      <c r="C226" s="10">
        <f t="shared" si="9"/>
        <v>1.6011231971409474E-2</v>
      </c>
      <c r="D226" s="5">
        <v>21946.76</v>
      </c>
      <c r="E226" s="10">
        <f t="shared" si="10"/>
        <v>1.3819030654236978E-2</v>
      </c>
      <c r="F226" s="24">
        <f t="shared" si="11"/>
        <v>2.1922013171724961E-3</v>
      </c>
    </row>
    <row r="227" spans="1:6" x14ac:dyDescent="0.3">
      <c r="A227" s="3">
        <v>46105</v>
      </c>
      <c r="B227" s="4">
        <v>88.987499999999997</v>
      </c>
      <c r="C227" s="10">
        <f t="shared" si="9"/>
        <v>-6.3091482649842018E-3</v>
      </c>
      <c r="D227" s="5">
        <v>21761.894</v>
      </c>
      <c r="E227" s="10">
        <f t="shared" si="10"/>
        <v>-8.4233845907094335E-3</v>
      </c>
      <c r="F227" s="24">
        <f t="shared" si="11"/>
        <v>2.1142363257252317E-3</v>
      </c>
    </row>
    <row r="228" spans="1:6" x14ac:dyDescent="0.3">
      <c r="A228" s="3">
        <v>46106</v>
      </c>
      <c r="B228" s="4">
        <v>89.557500000000005</v>
      </c>
      <c r="C228" s="10">
        <f t="shared" si="9"/>
        <v>6.4053940160135681E-3</v>
      </c>
      <c r="D228" s="5">
        <v>21929.825000000001</v>
      </c>
      <c r="E228" s="10">
        <f t="shared" si="10"/>
        <v>7.7167456104694056E-3</v>
      </c>
      <c r="F228" s="24">
        <f t="shared" si="11"/>
        <v>-1.3113515944558375E-3</v>
      </c>
    </row>
    <row r="229" spans="1:6" x14ac:dyDescent="0.3">
      <c r="A229" s="3">
        <v>46107</v>
      </c>
      <c r="B229" s="4">
        <v>87.004999999999995</v>
      </c>
      <c r="C229" s="10">
        <f t="shared" si="9"/>
        <v>-2.8501242218686419E-2</v>
      </c>
      <c r="D229" s="5">
        <v>21408.080999999998</v>
      </c>
      <c r="E229" s="10">
        <f t="shared" si="10"/>
        <v>-2.3791525924169592E-2</v>
      </c>
      <c r="F229" s="24">
        <f t="shared" si="11"/>
        <v>-4.7097162945168268E-3</v>
      </c>
    </row>
    <row r="230" spans="1:6" x14ac:dyDescent="0.3">
      <c r="A230" s="3">
        <v>46108</v>
      </c>
      <c r="B230" s="4">
        <v>85.125</v>
      </c>
      <c r="C230" s="10">
        <f t="shared" si="9"/>
        <v>-2.1607953565886968E-2</v>
      </c>
      <c r="D230" s="5">
        <v>20948.357</v>
      </c>
      <c r="E230" s="10">
        <f t="shared" si="10"/>
        <v>-2.1474320841741883E-2</v>
      </c>
      <c r="F230" s="24">
        <f t="shared" si="11"/>
        <v>-1.3363272414508576E-4</v>
      </c>
    </row>
    <row r="231" spans="1:6" x14ac:dyDescent="0.3">
      <c r="A231" s="3">
        <v>46111</v>
      </c>
      <c r="B231" s="4">
        <v>83.587500000000006</v>
      </c>
      <c r="C231" s="10">
        <f t="shared" si="9"/>
        <v>-1.8061674008810504E-2</v>
      </c>
      <c r="D231" s="5">
        <v>20794.641</v>
      </c>
      <c r="E231" s="10">
        <f t="shared" si="10"/>
        <v>-7.3378547062187428E-3</v>
      </c>
      <c r="F231" s="24">
        <f t="shared" si="11"/>
        <v>-1.0723819302591761E-2</v>
      </c>
    </row>
    <row r="232" spans="1:6" x14ac:dyDescent="0.3">
      <c r="A232" s="3">
        <v>46112</v>
      </c>
      <c r="B232" s="4">
        <v>87.215000000000003</v>
      </c>
      <c r="C232" s="10">
        <f t="shared" si="9"/>
        <v>4.3397637206520082E-2</v>
      </c>
      <c r="D232" s="5">
        <v>21590.629000000001</v>
      </c>
      <c r="E232" s="10">
        <f t="shared" si="10"/>
        <v>3.8278516084985607E-2</v>
      </c>
      <c r="F232" s="24">
        <f t="shared" si="11"/>
        <v>5.1191211215344742E-3</v>
      </c>
    </row>
    <row r="233" spans="1:6" x14ac:dyDescent="0.3">
      <c r="A233" s="3">
        <v>46113</v>
      </c>
      <c r="B233" s="4">
        <v>88.331249999999997</v>
      </c>
      <c r="C233" s="10">
        <f t="shared" si="9"/>
        <v>1.2798830476408802E-2</v>
      </c>
      <c r="D233" s="5">
        <v>21840.947</v>
      </c>
      <c r="E233" s="10">
        <f t="shared" si="10"/>
        <v>1.1593826191909429E-2</v>
      </c>
      <c r="F233" s="24">
        <f t="shared" si="11"/>
        <v>1.2050042844993728E-3</v>
      </c>
    </row>
    <row r="234" spans="1:6" x14ac:dyDescent="0.3">
      <c r="A234" s="3">
        <v>46114</v>
      </c>
      <c r="B234" s="4">
        <v>89.081249999999997</v>
      </c>
      <c r="C234" s="10">
        <f t="shared" si="9"/>
        <v>8.4907662916578232E-3</v>
      </c>
      <c r="D234" s="5">
        <v>21879.182000000001</v>
      </c>
      <c r="E234" s="10">
        <f t="shared" si="10"/>
        <v>1.7506109052872379E-3</v>
      </c>
      <c r="F234" s="24">
        <f t="shared" si="11"/>
        <v>6.7401553863705851E-3</v>
      </c>
    </row>
    <row r="235" spans="1:6" x14ac:dyDescent="0.3">
      <c r="A235" s="3">
        <v>46118</v>
      </c>
      <c r="B235" s="4">
        <v>89.527500000000003</v>
      </c>
      <c r="C235" s="10">
        <f t="shared" si="9"/>
        <v>5.009471690170561E-3</v>
      </c>
      <c r="D235" s="5">
        <v>21996.337</v>
      </c>
      <c r="E235" s="10">
        <f t="shared" si="10"/>
        <v>5.3546334593312876E-3</v>
      </c>
      <c r="F235" s="24">
        <f t="shared" si="11"/>
        <v>-3.4516176916072651E-4</v>
      </c>
    </row>
    <row r="236" spans="1:6" x14ac:dyDescent="0.3">
      <c r="A236" s="3">
        <v>46119</v>
      </c>
      <c r="B236" s="4">
        <v>89.806250000000006</v>
      </c>
      <c r="C236" s="10">
        <f t="shared" si="9"/>
        <v>3.1135684566194997E-3</v>
      </c>
      <c r="D236" s="5">
        <v>22017.848999999998</v>
      </c>
      <c r="E236" s="10">
        <f t="shared" si="10"/>
        <v>9.7798101565723457E-4</v>
      </c>
      <c r="F236" s="24">
        <f t="shared" si="11"/>
        <v>2.1355874409622654E-3</v>
      </c>
    </row>
    <row r="237" spans="1:6" x14ac:dyDescent="0.3">
      <c r="A237" s="3">
        <v>46120</v>
      </c>
      <c r="B237" s="4">
        <v>92.387500000000003</v>
      </c>
      <c r="C237" s="10">
        <f t="shared" si="9"/>
        <v>2.8742431623634178E-2</v>
      </c>
      <c r="D237" s="5">
        <v>22634.994999999999</v>
      </c>
      <c r="E237" s="10">
        <f t="shared" si="10"/>
        <v>2.8029350187659143E-2</v>
      </c>
      <c r="F237" s="24">
        <f t="shared" si="11"/>
        <v>7.1308143597503468E-4</v>
      </c>
    </row>
    <row r="238" spans="1:6" x14ac:dyDescent="0.3">
      <c r="A238" s="3">
        <v>46121</v>
      </c>
      <c r="B238" s="4">
        <v>92.518749999999997</v>
      </c>
      <c r="C238" s="10">
        <f t="shared" si="9"/>
        <v>1.4206467325124537E-3</v>
      </c>
      <c r="D238" s="5">
        <v>22822.417000000001</v>
      </c>
      <c r="E238" s="10">
        <f t="shared" si="10"/>
        <v>8.2801873824139265E-3</v>
      </c>
      <c r="F238" s="24">
        <f t="shared" si="11"/>
        <v>-6.8595406499014728E-3</v>
      </c>
    </row>
    <row r="239" spans="1:6" x14ac:dyDescent="0.3">
      <c r="A239" s="3">
        <v>46122</v>
      </c>
      <c r="B239" s="4">
        <v>92.91</v>
      </c>
      <c r="C239" s="10">
        <f t="shared" si="9"/>
        <v>4.2288725258393511E-3</v>
      </c>
      <c r="D239" s="5">
        <v>22902.894</v>
      </c>
      <c r="E239" s="10">
        <f t="shared" si="10"/>
        <v>3.5262259908755041E-3</v>
      </c>
      <c r="F239" s="24">
        <f t="shared" si="11"/>
        <v>7.0264653496384701E-4</v>
      </c>
    </row>
    <row r="240" spans="1:6" x14ac:dyDescent="0.3">
      <c r="A240" s="3">
        <v>46125</v>
      </c>
      <c r="B240" s="4">
        <v>94.782499999999999</v>
      </c>
      <c r="C240" s="10">
        <f t="shared" si="9"/>
        <v>2.015391238833282E-2</v>
      </c>
      <c r="D240" s="5">
        <v>23183.736000000001</v>
      </c>
      <c r="E240" s="10">
        <f t="shared" si="10"/>
        <v>1.2262293140770793E-2</v>
      </c>
      <c r="F240" s="24">
        <f t="shared" si="11"/>
        <v>7.8916192475620272E-3</v>
      </c>
    </row>
    <row r="241" spans="1:6" x14ac:dyDescent="0.3">
      <c r="A241" s="3">
        <v>46126</v>
      </c>
      <c r="B241" s="4">
        <v>96.254999999999995</v>
      </c>
      <c r="C241" s="10">
        <f t="shared" si="9"/>
        <v>1.5535568274734225E-2</v>
      </c>
      <c r="D241" s="5">
        <v>23639.082999999999</v>
      </c>
      <c r="E241" s="10">
        <f t="shared" si="10"/>
        <v>1.9640794736447909E-2</v>
      </c>
      <c r="F241" s="24">
        <f t="shared" si="11"/>
        <v>-4.1052264617136847E-3</v>
      </c>
    </row>
    <row r="242" spans="1:6" x14ac:dyDescent="0.3">
      <c r="A242" s="3">
        <v>46127</v>
      </c>
      <c r="B242" s="4">
        <v>98.002499999999998</v>
      </c>
      <c r="C242" s="10">
        <f t="shared" si="9"/>
        <v>1.815490104410163E-2</v>
      </c>
      <c r="D242" s="5">
        <v>24016.017</v>
      </c>
      <c r="E242" s="10">
        <f t="shared" si="10"/>
        <v>1.594537317712371E-2</v>
      </c>
      <c r="F242" s="24">
        <f t="shared" si="11"/>
        <v>2.2095278669779193E-3</v>
      </c>
    </row>
    <row r="243" spans="1:6" x14ac:dyDescent="0.3">
      <c r="A243" s="3">
        <v>46128</v>
      </c>
      <c r="B243" s="4">
        <v>98.992500000000007</v>
      </c>
      <c r="C243" s="10">
        <f t="shared" si="9"/>
        <v>1.01017831177777E-2</v>
      </c>
      <c r="D243" s="5">
        <v>24102.704000000002</v>
      </c>
      <c r="E243" s="10">
        <f t="shared" si="10"/>
        <v>3.609549410295709E-3</v>
      </c>
      <c r="F243" s="24">
        <f t="shared" si="11"/>
        <v>6.4922337074819914E-3</v>
      </c>
    </row>
    <row r="244" spans="1:6" x14ac:dyDescent="0.3">
      <c r="A244" s="3">
        <v>46129</v>
      </c>
      <c r="B244" s="4">
        <v>100.69750000000001</v>
      </c>
      <c r="C244" s="10">
        <f t="shared" si="9"/>
        <v>1.7223527034876361E-2</v>
      </c>
      <c r="D244" s="5">
        <v>24468.48</v>
      </c>
      <c r="E244" s="10">
        <f t="shared" si="10"/>
        <v>1.5175724682176655E-2</v>
      </c>
      <c r="F244" s="24">
        <f t="shared" si="11"/>
        <v>2.0478023526997059E-3</v>
      </c>
    </row>
    <row r="245" spans="1:6" x14ac:dyDescent="0.3">
      <c r="A245" s="3">
        <v>46132</v>
      </c>
      <c r="B245" s="4">
        <v>101.14125</v>
      </c>
      <c r="C245" s="10">
        <f t="shared" si="9"/>
        <v>4.4067628292658138E-3</v>
      </c>
      <c r="D245" s="5">
        <v>24404.393</v>
      </c>
      <c r="E245" s="10">
        <f t="shared" si="10"/>
        <v>-2.6191655550324147E-3</v>
      </c>
      <c r="F245" s="24">
        <f t="shared" si="11"/>
        <v>7.0259283842982285E-3</v>
      </c>
    </row>
    <row r="246" spans="1:6" x14ac:dyDescent="0.3">
      <c r="A246" s="3">
        <v>46133</v>
      </c>
      <c r="B246" s="4">
        <v>101.02</v>
      </c>
      <c r="C246" s="10">
        <f t="shared" si="9"/>
        <v>-1.1988184840508044E-3</v>
      </c>
      <c r="D246" s="5">
        <v>24259.964</v>
      </c>
      <c r="E246" s="10">
        <f t="shared" si="10"/>
        <v>-5.9181558008838857E-3</v>
      </c>
      <c r="F246" s="24">
        <f t="shared" si="11"/>
        <v>4.7193373168330811E-3</v>
      </c>
    </row>
    <row r="247" spans="1:6" x14ac:dyDescent="0.3">
      <c r="A247" s="3">
        <v>46134</v>
      </c>
      <c r="B247" s="4">
        <v>103.03</v>
      </c>
      <c r="C247" s="10">
        <f t="shared" si="9"/>
        <v>1.9897050089091321E-2</v>
      </c>
      <c r="D247" s="5">
        <v>24657.566999999999</v>
      </c>
      <c r="E247" s="10">
        <f t="shared" si="10"/>
        <v>1.6389265870303812E-2</v>
      </c>
      <c r="F247" s="24">
        <f t="shared" si="11"/>
        <v>3.5077842187875088E-3</v>
      </c>
    </row>
    <row r="248" spans="1:6" x14ac:dyDescent="0.3">
      <c r="A248" s="3">
        <v>46135</v>
      </c>
      <c r="B248" s="4">
        <v>101.57</v>
      </c>
      <c r="C248" s="10">
        <f t="shared" si="9"/>
        <v>-1.417062991361747E-2</v>
      </c>
      <c r="D248" s="5">
        <v>24438.504000000001</v>
      </c>
      <c r="E248" s="10">
        <f t="shared" si="10"/>
        <v>-8.884209865474493E-3</v>
      </c>
      <c r="F248" s="24">
        <f t="shared" si="11"/>
        <v>-5.2864200481429775E-3</v>
      </c>
    </row>
    <row r="249" spans="1:6" x14ac:dyDescent="0.3">
      <c r="A249" s="3">
        <v>46136</v>
      </c>
      <c r="B249" s="4">
        <v>104.16</v>
      </c>
      <c r="C249" s="10">
        <f t="shared" si="9"/>
        <v>2.549965541006206E-2</v>
      </c>
      <c r="D249" s="5">
        <v>24836.598999999998</v>
      </c>
      <c r="E249" s="10">
        <f t="shared" si="10"/>
        <v>1.6289663229794978E-2</v>
      </c>
      <c r="F249" s="24">
        <f t="shared" si="11"/>
        <v>9.2099921802670827E-3</v>
      </c>
    </row>
    <row r="250" spans="1:6" x14ac:dyDescent="0.3">
      <c r="A250" s="3">
        <v>46139</v>
      </c>
      <c r="B250" s="4">
        <v>104.32</v>
      </c>
      <c r="C250" s="10">
        <f t="shared" si="9"/>
        <v>1.5360983102918259E-3</v>
      </c>
      <c r="D250" s="5">
        <v>24887.1</v>
      </c>
      <c r="E250" s="10">
        <f t="shared" si="10"/>
        <v>2.0333299257277618E-3</v>
      </c>
      <c r="F250" s="24">
        <f t="shared" si="11"/>
        <v>-4.9723161543593583E-4</v>
      </c>
    </row>
    <row r="251" spans="1:6" x14ac:dyDescent="0.3">
      <c r="A251" s="3">
        <v>46140</v>
      </c>
      <c r="B251" s="4">
        <v>102.67</v>
      </c>
      <c r="C251" s="10">
        <f t="shared" si="9"/>
        <v>-1.5816717791410962E-2</v>
      </c>
      <c r="D251" s="5">
        <v>24663.798999999999</v>
      </c>
      <c r="E251" s="10">
        <f t="shared" si="10"/>
        <v>-8.9725600813272532E-3</v>
      </c>
      <c r="F251" s="24">
        <f t="shared" si="11"/>
        <v>-6.8441577100837089E-3</v>
      </c>
    </row>
    <row r="252" spans="1:6" x14ac:dyDescent="0.3">
      <c r="A252" s="3">
        <v>46141</v>
      </c>
      <c r="B252" s="4">
        <v>103.13</v>
      </c>
      <c r="C252" s="10">
        <f t="shared" si="9"/>
        <v>4.4803740138306585E-3</v>
      </c>
      <c r="D252" s="5">
        <v>24673.241000000002</v>
      </c>
      <c r="E252" s="10">
        <f t="shared" si="10"/>
        <v>3.8282829015930336E-4</v>
      </c>
      <c r="F252" s="24">
        <f t="shared" si="11"/>
        <v>4.0975457236713548E-3</v>
      </c>
    </row>
    <row r="253" spans="1:6" x14ac:dyDescent="0.3">
      <c r="A253" s="3">
        <v>46142</v>
      </c>
      <c r="B253" s="4">
        <v>102.625</v>
      </c>
      <c r="C253" s="10">
        <f t="shared" si="9"/>
        <v>-4.8967322796470035E-3</v>
      </c>
      <c r="D253" s="5">
        <v>24800.39</v>
      </c>
      <c r="E253" s="10">
        <f t="shared" si="10"/>
        <v>5.1533156912785642E-3</v>
      </c>
      <c r="F253" s="24">
        <f t="shared" si="11"/>
        <v>-1.0050047970925569E-2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9420-00D5-43DE-9BDC-9B219B791E56}">
  <sheetPr>
    <pageSetUpPr autoPageBreaks="0"/>
  </sheetPr>
  <dimension ref="A1:L258"/>
  <sheetViews>
    <sheetView tabSelected="1" zoomScaleNormal="100" workbookViewId="0">
      <selection activeCell="I8" sqref="I8"/>
    </sheetView>
  </sheetViews>
  <sheetFormatPr defaultRowHeight="13" x14ac:dyDescent="0.3"/>
  <cols>
    <col min="1" max="1" width="8.90625" style="9" customWidth="1"/>
    <col min="2" max="2" width="18.1796875" style="7" customWidth="1"/>
    <col min="3" max="3" width="12.1796875" style="9" bestFit="1" customWidth="1"/>
    <col min="4" max="4" width="4.81640625" style="9" customWidth="1"/>
    <col min="5" max="5" width="14.6328125" style="9" customWidth="1"/>
    <col min="6" max="6" width="8.7265625" style="9"/>
    <col min="7" max="7" width="4.7265625" style="26" customWidth="1"/>
    <col min="8" max="8" width="10.54296875" style="26" customWidth="1"/>
    <col min="9" max="9" width="13.1796875" style="26" customWidth="1"/>
    <col min="10" max="10" width="6.54296875" style="26" customWidth="1"/>
    <col min="11" max="11" width="11.6328125" style="9" customWidth="1"/>
    <col min="12" max="16384" width="8.7265625" style="9"/>
  </cols>
  <sheetData>
    <row r="1" spans="1:12" x14ac:dyDescent="0.3">
      <c r="A1" s="18"/>
      <c r="B1" s="19"/>
    </row>
    <row r="2" spans="1:12" x14ac:dyDescent="0.3">
      <c r="A2" s="20"/>
      <c r="B2" s="41" t="s">
        <v>2</v>
      </c>
      <c r="C2" s="41"/>
      <c r="E2" s="41" t="s">
        <v>2</v>
      </c>
      <c r="F2" s="41"/>
      <c r="G2" s="27"/>
      <c r="H2" s="41" t="s">
        <v>8</v>
      </c>
      <c r="I2" s="41"/>
      <c r="J2" s="27"/>
      <c r="K2" s="35" t="s">
        <v>12</v>
      </c>
      <c r="L2" s="12">
        <v>4.4200000000000003E-2</v>
      </c>
    </row>
    <row r="3" spans="1:12" x14ac:dyDescent="0.3">
      <c r="A3" s="20"/>
      <c r="B3" s="11" t="s">
        <v>4</v>
      </c>
      <c r="C3" s="14">
        <f>AVERAGE('ETF Data'!C3:C253)</f>
        <v>1.6847984761509784E-3</v>
      </c>
      <c r="E3" s="35" t="s">
        <v>11</v>
      </c>
      <c r="F3" s="32">
        <f>_xlfn.COVARIANCE.P('ETF Data'!C3:C253,'ETF Data'!E3:E253)/_xlfn.VAR.P('ETF Data'!E3:E253)</f>
        <v>1.1675352194089972</v>
      </c>
      <c r="G3" s="28"/>
      <c r="H3" s="36" t="s">
        <v>15</v>
      </c>
      <c r="I3" s="25">
        <f>(C9-L2)/C10</f>
        <v>1.9247148418868762</v>
      </c>
      <c r="J3" s="29"/>
      <c r="K3" s="35" t="s">
        <v>14</v>
      </c>
      <c r="L3" s="25">
        <v>252</v>
      </c>
    </row>
    <row r="4" spans="1:12" ht="26" x14ac:dyDescent="0.3">
      <c r="A4" s="20"/>
      <c r="B4" s="11" t="s">
        <v>18</v>
      </c>
      <c r="C4" s="14">
        <f>C3*L3</f>
        <v>0.42456921599004654</v>
      </c>
      <c r="E4" s="35" t="s">
        <v>15</v>
      </c>
      <c r="F4" s="34">
        <f>(C4-L2)/C5</f>
        <v>1.8535129121125518</v>
      </c>
      <c r="G4" s="29"/>
      <c r="I4" s="30"/>
      <c r="J4" s="30"/>
    </row>
    <row r="5" spans="1:12" x14ac:dyDescent="0.3">
      <c r="A5" s="20"/>
      <c r="B5" s="11" t="s">
        <v>6</v>
      </c>
      <c r="C5" s="16">
        <f>_xlfn.STDEV.P('ETF Data'!C3:C253)*SQRT(L3)</f>
        <v>0.20521530414186248</v>
      </c>
      <c r="E5" s="35" t="s">
        <v>16</v>
      </c>
      <c r="F5" s="34">
        <f>(C4-L2)/F3</f>
        <v>0.32578821577869682</v>
      </c>
      <c r="G5" s="30"/>
      <c r="I5" s="31"/>
      <c r="J5" s="31"/>
    </row>
    <row r="6" spans="1:12" x14ac:dyDescent="0.3">
      <c r="A6" s="20"/>
      <c r="B6" s="39"/>
      <c r="C6" s="38"/>
      <c r="E6" s="35" t="s">
        <v>17</v>
      </c>
      <c r="F6" s="33">
        <f>C4-(L2+F3*(C9-L2))</f>
        <v>2.9493743477086443E-3</v>
      </c>
      <c r="G6" s="31"/>
    </row>
    <row r="7" spans="1:12" x14ac:dyDescent="0.3">
      <c r="A7" s="20"/>
      <c r="B7" s="41" t="s">
        <v>8</v>
      </c>
      <c r="C7" s="41"/>
      <c r="E7" s="35" t="s">
        <v>22</v>
      </c>
      <c r="F7" s="33">
        <f>F4*C10+L2</f>
        <v>0.35550346768143554</v>
      </c>
    </row>
    <row r="8" spans="1:12" x14ac:dyDescent="0.3">
      <c r="A8" s="20"/>
      <c r="B8" s="11" t="s">
        <v>5</v>
      </c>
      <c r="C8" s="14">
        <f>AVERAGE('ETF Data'!E3:E253)</f>
        <v>1.4581827828543843E-3</v>
      </c>
    </row>
    <row r="9" spans="1:12" ht="26" x14ac:dyDescent="0.3">
      <c r="A9" s="20"/>
      <c r="B9" s="11" t="s">
        <v>18</v>
      </c>
      <c r="C9" s="14">
        <f>C8*L3</f>
        <v>0.36746206127930486</v>
      </c>
    </row>
    <row r="10" spans="1:12" x14ac:dyDescent="0.3">
      <c r="A10" s="20"/>
      <c r="B10" s="11" t="s">
        <v>6</v>
      </c>
      <c r="C10" s="16">
        <f>_xlfn.STDEV.P('ETF Data'!E3:E253)*SQRT(L3)</f>
        <v>0.16795322311870256</v>
      </c>
    </row>
    <row r="11" spans="1:12" x14ac:dyDescent="0.3">
      <c r="A11" s="20"/>
      <c r="B11" s="37"/>
      <c r="C11" s="38"/>
    </row>
    <row r="12" spans="1:12" x14ac:dyDescent="0.3">
      <c r="A12" s="20"/>
      <c r="B12" s="13"/>
      <c r="C12" s="15"/>
    </row>
    <row r="13" spans="1:12" x14ac:dyDescent="0.3">
      <c r="A13" s="20"/>
      <c r="B13" s="11" t="s">
        <v>7</v>
      </c>
      <c r="C13" s="40">
        <f>_xlfn.COVARIANCE.P('ETF Data'!C3:C253,'ETF Data'!E3:E253)*L3</f>
        <v>3.293416639871611E-2</v>
      </c>
    </row>
    <row r="14" spans="1:12" x14ac:dyDescent="0.3">
      <c r="A14" s="20"/>
      <c r="B14" s="11" t="s">
        <v>20</v>
      </c>
      <c r="C14" s="40">
        <f>C13/(C5*C10)</f>
        <v>0.95553937375346731</v>
      </c>
    </row>
    <row r="15" spans="1:12" ht="26" x14ac:dyDescent="0.3">
      <c r="A15" s="20"/>
      <c r="B15" s="21" t="s">
        <v>13</v>
      </c>
      <c r="C15" s="16">
        <f>L2/L3</f>
        <v>1.753968253968254E-4</v>
      </c>
    </row>
    <row r="16" spans="1:12" x14ac:dyDescent="0.3">
      <c r="A16" s="20"/>
      <c r="B16" s="17" t="s">
        <v>19</v>
      </c>
      <c r="C16" s="33">
        <f>_xlfn.STDEV.P('ETF Data'!F3:F253)*SQRT(L3)</f>
        <v>6.6732851074756017E-2</v>
      </c>
    </row>
    <row r="17" spans="1:2" x14ac:dyDescent="0.3">
      <c r="A17" s="20"/>
      <c r="B17" s="22"/>
    </row>
    <row r="18" spans="1:2" x14ac:dyDescent="0.3">
      <c r="A18" s="20"/>
      <c r="B18" s="22"/>
    </row>
    <row r="19" spans="1:2" x14ac:dyDescent="0.3">
      <c r="A19" s="20"/>
      <c r="B19" s="22"/>
    </row>
    <row r="20" spans="1:2" x14ac:dyDescent="0.3">
      <c r="A20" s="20"/>
      <c r="B20" s="22"/>
    </row>
    <row r="21" spans="1:2" x14ac:dyDescent="0.3">
      <c r="A21" s="20"/>
      <c r="B21" s="22"/>
    </row>
    <row r="22" spans="1:2" x14ac:dyDescent="0.3">
      <c r="A22" s="20"/>
      <c r="B22" s="22"/>
    </row>
    <row r="23" spans="1:2" x14ac:dyDescent="0.3">
      <c r="A23" s="20"/>
      <c r="B23" s="22"/>
    </row>
    <row r="24" spans="1:2" x14ac:dyDescent="0.3">
      <c r="A24" s="20"/>
      <c r="B24" s="22"/>
    </row>
    <row r="25" spans="1:2" x14ac:dyDescent="0.3">
      <c r="A25" s="20"/>
      <c r="B25" s="22"/>
    </row>
    <row r="26" spans="1:2" x14ac:dyDescent="0.3">
      <c r="A26" s="20"/>
      <c r="B26" s="22"/>
    </row>
    <row r="27" spans="1:2" x14ac:dyDescent="0.3">
      <c r="A27" s="20"/>
      <c r="B27" s="22"/>
    </row>
    <row r="28" spans="1:2" x14ac:dyDescent="0.3">
      <c r="A28" s="20"/>
      <c r="B28" s="22"/>
    </row>
    <row r="29" spans="1:2" x14ac:dyDescent="0.3">
      <c r="A29" s="20"/>
      <c r="B29" s="22"/>
    </row>
    <row r="30" spans="1:2" x14ac:dyDescent="0.3">
      <c r="A30" s="20"/>
      <c r="B30" s="22"/>
    </row>
    <row r="31" spans="1:2" x14ac:dyDescent="0.3">
      <c r="A31" s="20"/>
      <c r="B31" s="22"/>
    </row>
    <row r="32" spans="1:2" x14ac:dyDescent="0.3">
      <c r="A32" s="20"/>
      <c r="B32" s="22"/>
    </row>
    <row r="33" spans="1:2" x14ac:dyDescent="0.3">
      <c r="A33" s="20"/>
      <c r="B33" s="22"/>
    </row>
    <row r="34" spans="1:2" x14ac:dyDescent="0.3">
      <c r="A34" s="20"/>
      <c r="B34" s="22"/>
    </row>
    <row r="35" spans="1:2" x14ac:dyDescent="0.3">
      <c r="A35" s="20"/>
      <c r="B35" s="22"/>
    </row>
    <row r="36" spans="1:2" x14ac:dyDescent="0.3">
      <c r="A36" s="20"/>
      <c r="B36" s="22"/>
    </row>
    <row r="37" spans="1:2" x14ac:dyDescent="0.3">
      <c r="A37" s="20"/>
      <c r="B37" s="22"/>
    </row>
    <row r="38" spans="1:2" x14ac:dyDescent="0.3">
      <c r="A38" s="20"/>
      <c r="B38" s="22"/>
    </row>
    <row r="39" spans="1:2" x14ac:dyDescent="0.3">
      <c r="A39" s="20"/>
      <c r="B39" s="22"/>
    </row>
    <row r="40" spans="1:2" x14ac:dyDescent="0.3">
      <c r="A40" s="20"/>
      <c r="B40" s="22"/>
    </row>
    <row r="41" spans="1:2" x14ac:dyDescent="0.3">
      <c r="A41" s="20"/>
      <c r="B41" s="22"/>
    </row>
    <row r="42" spans="1:2" x14ac:dyDescent="0.3">
      <c r="A42" s="20"/>
      <c r="B42" s="22"/>
    </row>
    <row r="43" spans="1:2" x14ac:dyDescent="0.3">
      <c r="A43" s="20"/>
      <c r="B43" s="22"/>
    </row>
    <row r="44" spans="1:2" x14ac:dyDescent="0.3">
      <c r="A44" s="20"/>
      <c r="B44" s="22"/>
    </row>
    <row r="45" spans="1:2" x14ac:dyDescent="0.3">
      <c r="A45" s="20"/>
      <c r="B45" s="22"/>
    </row>
    <row r="46" spans="1:2" x14ac:dyDescent="0.3">
      <c r="A46" s="20"/>
      <c r="B46" s="22"/>
    </row>
    <row r="47" spans="1:2" x14ac:dyDescent="0.3">
      <c r="A47" s="20"/>
      <c r="B47" s="22"/>
    </row>
    <row r="48" spans="1:2" x14ac:dyDescent="0.3">
      <c r="A48" s="20"/>
      <c r="B48" s="22"/>
    </row>
    <row r="49" spans="1:2" x14ac:dyDescent="0.3">
      <c r="A49" s="20"/>
      <c r="B49" s="22"/>
    </row>
    <row r="50" spans="1:2" x14ac:dyDescent="0.3">
      <c r="A50" s="20"/>
      <c r="B50" s="22"/>
    </row>
    <row r="51" spans="1:2" x14ac:dyDescent="0.3">
      <c r="A51" s="20"/>
      <c r="B51" s="22"/>
    </row>
    <row r="52" spans="1:2" x14ac:dyDescent="0.3">
      <c r="A52" s="20"/>
      <c r="B52" s="22"/>
    </row>
    <row r="53" spans="1:2" x14ac:dyDescent="0.3">
      <c r="A53" s="20"/>
      <c r="B53" s="22"/>
    </row>
    <row r="54" spans="1:2" x14ac:dyDescent="0.3">
      <c r="A54" s="20"/>
      <c r="B54" s="22"/>
    </row>
    <row r="55" spans="1:2" x14ac:dyDescent="0.3">
      <c r="A55" s="20"/>
      <c r="B55" s="22"/>
    </row>
    <row r="56" spans="1:2" x14ac:dyDescent="0.3">
      <c r="A56" s="20"/>
      <c r="B56" s="22"/>
    </row>
    <row r="57" spans="1:2" x14ac:dyDescent="0.3">
      <c r="A57" s="20"/>
      <c r="B57" s="22"/>
    </row>
    <row r="58" spans="1:2" x14ac:dyDescent="0.3">
      <c r="A58" s="20"/>
      <c r="B58" s="22"/>
    </row>
    <row r="59" spans="1:2" x14ac:dyDescent="0.3">
      <c r="A59" s="20"/>
      <c r="B59" s="22"/>
    </row>
    <row r="60" spans="1:2" x14ac:dyDescent="0.3">
      <c r="A60" s="20"/>
      <c r="B60" s="22"/>
    </row>
    <row r="61" spans="1:2" x14ac:dyDescent="0.3">
      <c r="A61" s="20"/>
      <c r="B61" s="22"/>
    </row>
    <row r="62" spans="1:2" x14ac:dyDescent="0.3">
      <c r="A62" s="20"/>
      <c r="B62" s="22"/>
    </row>
    <row r="63" spans="1:2" x14ac:dyDescent="0.3">
      <c r="A63" s="20"/>
      <c r="B63" s="22"/>
    </row>
    <row r="64" spans="1:2" x14ac:dyDescent="0.3">
      <c r="A64" s="20"/>
      <c r="B64" s="22"/>
    </row>
    <row r="65" spans="1:2" x14ac:dyDescent="0.3">
      <c r="A65" s="20"/>
      <c r="B65" s="22"/>
    </row>
    <row r="66" spans="1:2" x14ac:dyDescent="0.3">
      <c r="A66" s="20"/>
      <c r="B66" s="22"/>
    </row>
    <row r="67" spans="1:2" x14ac:dyDescent="0.3">
      <c r="A67" s="20"/>
      <c r="B67" s="22"/>
    </row>
    <row r="68" spans="1:2" x14ac:dyDescent="0.3">
      <c r="A68" s="20"/>
      <c r="B68" s="22"/>
    </row>
    <row r="69" spans="1:2" x14ac:dyDescent="0.3">
      <c r="A69" s="20"/>
      <c r="B69" s="22"/>
    </row>
    <row r="70" spans="1:2" x14ac:dyDescent="0.3">
      <c r="A70" s="20"/>
      <c r="B70" s="22"/>
    </row>
    <row r="71" spans="1:2" x14ac:dyDescent="0.3">
      <c r="A71" s="20"/>
      <c r="B71" s="22"/>
    </row>
    <row r="72" spans="1:2" x14ac:dyDescent="0.3">
      <c r="A72" s="20"/>
      <c r="B72" s="22"/>
    </row>
    <row r="73" spans="1:2" x14ac:dyDescent="0.3">
      <c r="A73" s="20"/>
      <c r="B73" s="22"/>
    </row>
    <row r="74" spans="1:2" x14ac:dyDescent="0.3">
      <c r="A74" s="20"/>
      <c r="B74" s="22"/>
    </row>
    <row r="75" spans="1:2" x14ac:dyDescent="0.3">
      <c r="A75" s="20"/>
      <c r="B75" s="22"/>
    </row>
    <row r="76" spans="1:2" x14ac:dyDescent="0.3">
      <c r="A76" s="20"/>
      <c r="B76" s="22"/>
    </row>
    <row r="77" spans="1:2" x14ac:dyDescent="0.3">
      <c r="A77" s="20"/>
      <c r="B77" s="22"/>
    </row>
    <row r="78" spans="1:2" x14ac:dyDescent="0.3">
      <c r="A78" s="20"/>
      <c r="B78" s="22"/>
    </row>
    <row r="79" spans="1:2" x14ac:dyDescent="0.3">
      <c r="A79" s="20"/>
      <c r="B79" s="22"/>
    </row>
    <row r="80" spans="1:2" x14ac:dyDescent="0.3">
      <c r="A80" s="20"/>
      <c r="B80" s="22"/>
    </row>
    <row r="81" spans="1:2" x14ac:dyDescent="0.3">
      <c r="A81" s="20"/>
      <c r="B81" s="22"/>
    </row>
    <row r="82" spans="1:2" x14ac:dyDescent="0.3">
      <c r="A82" s="20"/>
      <c r="B82" s="22"/>
    </row>
    <row r="83" spans="1:2" x14ac:dyDescent="0.3">
      <c r="A83" s="20"/>
      <c r="B83" s="22"/>
    </row>
    <row r="84" spans="1:2" x14ac:dyDescent="0.3">
      <c r="A84" s="20"/>
      <c r="B84" s="22"/>
    </row>
    <row r="85" spans="1:2" x14ac:dyDescent="0.3">
      <c r="A85" s="20"/>
      <c r="B85" s="22"/>
    </row>
    <row r="86" spans="1:2" x14ac:dyDescent="0.3">
      <c r="A86" s="20"/>
      <c r="B86" s="22"/>
    </row>
    <row r="87" spans="1:2" x14ac:dyDescent="0.3">
      <c r="A87" s="20"/>
      <c r="B87" s="22"/>
    </row>
    <row r="88" spans="1:2" x14ac:dyDescent="0.3">
      <c r="A88" s="20"/>
      <c r="B88" s="22"/>
    </row>
    <row r="89" spans="1:2" x14ac:dyDescent="0.3">
      <c r="A89" s="20"/>
      <c r="B89" s="22"/>
    </row>
    <row r="90" spans="1:2" x14ac:dyDescent="0.3">
      <c r="A90" s="20"/>
      <c r="B90" s="22"/>
    </row>
    <row r="91" spans="1:2" x14ac:dyDescent="0.3">
      <c r="A91" s="20"/>
      <c r="B91" s="22"/>
    </row>
    <row r="92" spans="1:2" x14ac:dyDescent="0.3">
      <c r="A92" s="20"/>
      <c r="B92" s="22"/>
    </row>
    <row r="93" spans="1:2" x14ac:dyDescent="0.3">
      <c r="A93" s="20"/>
      <c r="B93" s="22"/>
    </row>
    <row r="94" spans="1:2" x14ac:dyDescent="0.3">
      <c r="A94" s="20"/>
      <c r="B94" s="22"/>
    </row>
    <row r="95" spans="1:2" x14ac:dyDescent="0.3">
      <c r="A95" s="20"/>
      <c r="B95" s="22"/>
    </row>
    <row r="96" spans="1:2" x14ac:dyDescent="0.3">
      <c r="A96" s="20"/>
      <c r="B96" s="22"/>
    </row>
    <row r="97" spans="1:2" x14ac:dyDescent="0.3">
      <c r="A97" s="20"/>
      <c r="B97" s="22"/>
    </row>
    <row r="98" spans="1:2" x14ac:dyDescent="0.3">
      <c r="A98" s="20"/>
      <c r="B98" s="22"/>
    </row>
    <row r="99" spans="1:2" x14ac:dyDescent="0.3">
      <c r="A99" s="20"/>
      <c r="B99" s="22"/>
    </row>
    <row r="100" spans="1:2" x14ac:dyDescent="0.3">
      <c r="A100" s="20"/>
      <c r="B100" s="22"/>
    </row>
    <row r="101" spans="1:2" x14ac:dyDescent="0.3">
      <c r="A101" s="20"/>
      <c r="B101" s="22"/>
    </row>
    <row r="102" spans="1:2" x14ac:dyDescent="0.3">
      <c r="A102" s="20"/>
      <c r="B102" s="22"/>
    </row>
    <row r="103" spans="1:2" x14ac:dyDescent="0.3">
      <c r="A103" s="20"/>
      <c r="B103" s="22"/>
    </row>
    <row r="104" spans="1:2" x14ac:dyDescent="0.3">
      <c r="A104" s="20"/>
      <c r="B104" s="22"/>
    </row>
    <row r="105" spans="1:2" x14ac:dyDescent="0.3">
      <c r="A105" s="20"/>
      <c r="B105" s="22"/>
    </row>
    <row r="106" spans="1:2" x14ac:dyDescent="0.3">
      <c r="A106" s="20"/>
      <c r="B106" s="22"/>
    </row>
    <row r="107" spans="1:2" x14ac:dyDescent="0.3">
      <c r="A107" s="20"/>
      <c r="B107" s="22"/>
    </row>
    <row r="108" spans="1:2" x14ac:dyDescent="0.3">
      <c r="A108" s="20"/>
      <c r="B108" s="22"/>
    </row>
    <row r="109" spans="1:2" x14ac:dyDescent="0.3">
      <c r="A109" s="20"/>
      <c r="B109" s="22"/>
    </row>
    <row r="110" spans="1:2" x14ac:dyDescent="0.3">
      <c r="A110" s="20"/>
      <c r="B110" s="22"/>
    </row>
    <row r="111" spans="1:2" x14ac:dyDescent="0.3">
      <c r="A111" s="20"/>
      <c r="B111" s="22"/>
    </row>
    <row r="112" spans="1:2" x14ac:dyDescent="0.3">
      <c r="A112" s="20"/>
      <c r="B112" s="22"/>
    </row>
    <row r="113" spans="1:2" x14ac:dyDescent="0.3">
      <c r="A113" s="20"/>
      <c r="B113" s="22"/>
    </row>
    <row r="114" spans="1:2" x14ac:dyDescent="0.3">
      <c r="A114" s="20"/>
      <c r="B114" s="22"/>
    </row>
    <row r="115" spans="1:2" x14ac:dyDescent="0.3">
      <c r="A115" s="20"/>
      <c r="B115" s="22"/>
    </row>
    <row r="116" spans="1:2" x14ac:dyDescent="0.3">
      <c r="A116" s="20"/>
      <c r="B116" s="22"/>
    </row>
    <row r="117" spans="1:2" x14ac:dyDescent="0.3">
      <c r="A117" s="20"/>
      <c r="B117" s="22"/>
    </row>
    <row r="118" spans="1:2" x14ac:dyDescent="0.3">
      <c r="A118" s="20"/>
      <c r="B118" s="22"/>
    </row>
    <row r="119" spans="1:2" x14ac:dyDescent="0.3">
      <c r="A119" s="20"/>
      <c r="B119" s="22"/>
    </row>
    <row r="120" spans="1:2" x14ac:dyDescent="0.3">
      <c r="A120" s="20"/>
      <c r="B120" s="22"/>
    </row>
    <row r="121" spans="1:2" x14ac:dyDescent="0.3">
      <c r="A121" s="20"/>
      <c r="B121" s="22"/>
    </row>
    <row r="122" spans="1:2" x14ac:dyDescent="0.3">
      <c r="A122" s="20"/>
      <c r="B122" s="22"/>
    </row>
    <row r="123" spans="1:2" x14ac:dyDescent="0.3">
      <c r="A123" s="20"/>
      <c r="B123" s="22"/>
    </row>
    <row r="124" spans="1:2" x14ac:dyDescent="0.3">
      <c r="A124" s="20"/>
      <c r="B124" s="22"/>
    </row>
    <row r="125" spans="1:2" x14ac:dyDescent="0.3">
      <c r="A125" s="20"/>
      <c r="B125" s="22"/>
    </row>
    <row r="126" spans="1:2" x14ac:dyDescent="0.3">
      <c r="A126" s="20"/>
      <c r="B126" s="22"/>
    </row>
    <row r="127" spans="1:2" x14ac:dyDescent="0.3">
      <c r="A127" s="20"/>
      <c r="B127" s="22"/>
    </row>
    <row r="128" spans="1:2" x14ac:dyDescent="0.3">
      <c r="A128" s="20"/>
      <c r="B128" s="22"/>
    </row>
    <row r="129" spans="1:2" x14ac:dyDescent="0.3">
      <c r="A129" s="20"/>
      <c r="B129" s="22"/>
    </row>
    <row r="130" spans="1:2" x14ac:dyDescent="0.3">
      <c r="A130" s="20"/>
      <c r="B130" s="22"/>
    </row>
    <row r="131" spans="1:2" x14ac:dyDescent="0.3">
      <c r="A131" s="20"/>
      <c r="B131" s="22"/>
    </row>
    <row r="132" spans="1:2" x14ac:dyDescent="0.3">
      <c r="A132" s="20"/>
      <c r="B132" s="22"/>
    </row>
    <row r="133" spans="1:2" x14ac:dyDescent="0.3">
      <c r="A133" s="20"/>
      <c r="B133" s="22"/>
    </row>
    <row r="134" spans="1:2" x14ac:dyDescent="0.3">
      <c r="A134" s="20"/>
      <c r="B134" s="22"/>
    </row>
    <row r="135" spans="1:2" x14ac:dyDescent="0.3">
      <c r="A135" s="20"/>
      <c r="B135" s="22"/>
    </row>
    <row r="136" spans="1:2" x14ac:dyDescent="0.3">
      <c r="A136" s="20"/>
      <c r="B136" s="22"/>
    </row>
    <row r="137" spans="1:2" x14ac:dyDescent="0.3">
      <c r="A137" s="20"/>
      <c r="B137" s="22"/>
    </row>
    <row r="138" spans="1:2" x14ac:dyDescent="0.3">
      <c r="A138" s="20"/>
      <c r="B138" s="22"/>
    </row>
    <row r="139" spans="1:2" x14ac:dyDescent="0.3">
      <c r="A139" s="20"/>
      <c r="B139" s="22"/>
    </row>
    <row r="140" spans="1:2" x14ac:dyDescent="0.3">
      <c r="A140" s="20"/>
      <c r="B140" s="22"/>
    </row>
    <row r="141" spans="1:2" x14ac:dyDescent="0.3">
      <c r="A141" s="20"/>
      <c r="B141" s="22"/>
    </row>
    <row r="142" spans="1:2" x14ac:dyDescent="0.3">
      <c r="A142" s="20"/>
      <c r="B142" s="22"/>
    </row>
    <row r="143" spans="1:2" x14ac:dyDescent="0.3">
      <c r="A143" s="20"/>
      <c r="B143" s="22"/>
    </row>
    <row r="144" spans="1:2" x14ac:dyDescent="0.3">
      <c r="A144" s="20"/>
      <c r="B144" s="22"/>
    </row>
    <row r="145" spans="1:2" x14ac:dyDescent="0.3">
      <c r="A145" s="20"/>
      <c r="B145" s="22"/>
    </row>
    <row r="146" spans="1:2" x14ac:dyDescent="0.3">
      <c r="A146" s="20"/>
      <c r="B146" s="22"/>
    </row>
    <row r="147" spans="1:2" x14ac:dyDescent="0.3">
      <c r="A147" s="20"/>
      <c r="B147" s="22"/>
    </row>
    <row r="148" spans="1:2" x14ac:dyDescent="0.3">
      <c r="A148" s="20"/>
      <c r="B148" s="22"/>
    </row>
    <row r="149" spans="1:2" x14ac:dyDescent="0.3">
      <c r="A149" s="20"/>
      <c r="B149" s="22"/>
    </row>
    <row r="150" spans="1:2" x14ac:dyDescent="0.3">
      <c r="A150" s="20"/>
      <c r="B150" s="22"/>
    </row>
    <row r="151" spans="1:2" x14ac:dyDescent="0.3">
      <c r="A151" s="20"/>
      <c r="B151" s="22"/>
    </row>
    <row r="152" spans="1:2" x14ac:dyDescent="0.3">
      <c r="A152" s="20"/>
      <c r="B152" s="22"/>
    </row>
    <row r="153" spans="1:2" x14ac:dyDescent="0.3">
      <c r="A153" s="20"/>
      <c r="B153" s="22"/>
    </row>
    <row r="154" spans="1:2" x14ac:dyDescent="0.3">
      <c r="A154" s="20"/>
      <c r="B154" s="22"/>
    </row>
    <row r="155" spans="1:2" x14ac:dyDescent="0.3">
      <c r="A155" s="20"/>
      <c r="B155" s="22"/>
    </row>
    <row r="156" spans="1:2" x14ac:dyDescent="0.3">
      <c r="A156" s="20"/>
      <c r="B156" s="22"/>
    </row>
    <row r="157" spans="1:2" x14ac:dyDescent="0.3">
      <c r="A157" s="20"/>
      <c r="B157" s="22"/>
    </row>
    <row r="158" spans="1:2" x14ac:dyDescent="0.3">
      <c r="A158" s="20"/>
      <c r="B158" s="22"/>
    </row>
    <row r="159" spans="1:2" x14ac:dyDescent="0.3">
      <c r="A159" s="20"/>
      <c r="B159" s="22"/>
    </row>
    <row r="160" spans="1:2" x14ac:dyDescent="0.3">
      <c r="A160" s="20"/>
      <c r="B160" s="22"/>
    </row>
    <row r="161" spans="1:2" x14ac:dyDescent="0.3">
      <c r="A161" s="20"/>
      <c r="B161" s="22"/>
    </row>
    <row r="162" spans="1:2" x14ac:dyDescent="0.3">
      <c r="A162" s="20"/>
      <c r="B162" s="22"/>
    </row>
    <row r="163" spans="1:2" x14ac:dyDescent="0.3">
      <c r="A163" s="20"/>
      <c r="B163" s="22"/>
    </row>
    <row r="164" spans="1:2" x14ac:dyDescent="0.3">
      <c r="A164" s="20"/>
      <c r="B164" s="22"/>
    </row>
    <row r="165" spans="1:2" x14ac:dyDescent="0.3">
      <c r="A165" s="20"/>
      <c r="B165" s="22"/>
    </row>
    <row r="166" spans="1:2" x14ac:dyDescent="0.3">
      <c r="A166" s="20"/>
      <c r="B166" s="22"/>
    </row>
    <row r="167" spans="1:2" x14ac:dyDescent="0.3">
      <c r="A167" s="20"/>
      <c r="B167" s="22"/>
    </row>
    <row r="168" spans="1:2" x14ac:dyDescent="0.3">
      <c r="A168" s="20"/>
      <c r="B168" s="22"/>
    </row>
    <row r="169" spans="1:2" x14ac:dyDescent="0.3">
      <c r="A169" s="20"/>
      <c r="B169" s="22"/>
    </row>
    <row r="170" spans="1:2" x14ac:dyDescent="0.3">
      <c r="A170" s="20"/>
      <c r="B170" s="22"/>
    </row>
    <row r="171" spans="1:2" x14ac:dyDescent="0.3">
      <c r="A171" s="20"/>
      <c r="B171" s="22"/>
    </row>
    <row r="172" spans="1:2" x14ac:dyDescent="0.3">
      <c r="A172" s="20"/>
      <c r="B172" s="22"/>
    </row>
    <row r="173" spans="1:2" x14ac:dyDescent="0.3">
      <c r="A173" s="20"/>
      <c r="B173" s="22"/>
    </row>
    <row r="174" spans="1:2" x14ac:dyDescent="0.3">
      <c r="A174" s="20"/>
      <c r="B174" s="22"/>
    </row>
    <row r="175" spans="1:2" x14ac:dyDescent="0.3">
      <c r="A175" s="20"/>
      <c r="B175" s="22"/>
    </row>
    <row r="176" spans="1:2" x14ac:dyDescent="0.3">
      <c r="A176" s="20"/>
      <c r="B176" s="22"/>
    </row>
    <row r="177" spans="1:2" x14ac:dyDescent="0.3">
      <c r="A177" s="20"/>
      <c r="B177" s="22"/>
    </row>
    <row r="178" spans="1:2" x14ac:dyDescent="0.3">
      <c r="A178" s="20"/>
      <c r="B178" s="22"/>
    </row>
    <row r="179" spans="1:2" x14ac:dyDescent="0.3">
      <c r="A179" s="20"/>
      <c r="B179" s="22"/>
    </row>
    <row r="180" spans="1:2" x14ac:dyDescent="0.3">
      <c r="A180" s="20"/>
      <c r="B180" s="22"/>
    </row>
    <row r="181" spans="1:2" x14ac:dyDescent="0.3">
      <c r="A181" s="20"/>
      <c r="B181" s="22"/>
    </row>
    <row r="182" spans="1:2" x14ac:dyDescent="0.3">
      <c r="A182" s="20"/>
      <c r="B182" s="22"/>
    </row>
    <row r="183" spans="1:2" x14ac:dyDescent="0.3">
      <c r="A183" s="20"/>
      <c r="B183" s="22"/>
    </row>
    <row r="184" spans="1:2" x14ac:dyDescent="0.3">
      <c r="A184" s="20"/>
      <c r="B184" s="22"/>
    </row>
    <row r="185" spans="1:2" x14ac:dyDescent="0.3">
      <c r="A185" s="20"/>
      <c r="B185" s="22"/>
    </row>
    <row r="186" spans="1:2" x14ac:dyDescent="0.3">
      <c r="A186" s="20"/>
      <c r="B186" s="22"/>
    </row>
    <row r="187" spans="1:2" x14ac:dyDescent="0.3">
      <c r="A187" s="20"/>
      <c r="B187" s="22"/>
    </row>
    <row r="188" spans="1:2" x14ac:dyDescent="0.3">
      <c r="A188" s="20"/>
      <c r="B188" s="22"/>
    </row>
    <row r="189" spans="1:2" x14ac:dyDescent="0.3">
      <c r="A189" s="20"/>
      <c r="B189" s="22"/>
    </row>
    <row r="190" spans="1:2" x14ac:dyDescent="0.3">
      <c r="A190" s="20"/>
      <c r="B190" s="22"/>
    </row>
    <row r="191" spans="1:2" x14ac:dyDescent="0.3">
      <c r="A191" s="20"/>
      <c r="B191" s="22"/>
    </row>
    <row r="192" spans="1:2" x14ac:dyDescent="0.3">
      <c r="A192" s="20"/>
      <c r="B192" s="22"/>
    </row>
    <row r="193" spans="1:2" x14ac:dyDescent="0.3">
      <c r="A193" s="20"/>
      <c r="B193" s="22"/>
    </row>
    <row r="194" spans="1:2" x14ac:dyDescent="0.3">
      <c r="A194" s="20"/>
      <c r="B194" s="22"/>
    </row>
    <row r="195" spans="1:2" x14ac:dyDescent="0.3">
      <c r="A195" s="20"/>
      <c r="B195" s="22"/>
    </row>
    <row r="196" spans="1:2" x14ac:dyDescent="0.3">
      <c r="A196" s="20"/>
      <c r="B196" s="22"/>
    </row>
    <row r="197" spans="1:2" x14ac:dyDescent="0.3">
      <c r="A197" s="20"/>
      <c r="B197" s="22"/>
    </row>
    <row r="198" spans="1:2" x14ac:dyDescent="0.3">
      <c r="A198" s="20"/>
      <c r="B198" s="22"/>
    </row>
    <row r="199" spans="1:2" x14ac:dyDescent="0.3">
      <c r="A199" s="20"/>
      <c r="B199" s="22"/>
    </row>
    <row r="200" spans="1:2" x14ac:dyDescent="0.3">
      <c r="A200" s="20"/>
      <c r="B200" s="22"/>
    </row>
    <row r="201" spans="1:2" x14ac:dyDescent="0.3">
      <c r="A201" s="20"/>
      <c r="B201" s="22"/>
    </row>
    <row r="202" spans="1:2" x14ac:dyDescent="0.3">
      <c r="A202" s="20"/>
      <c r="B202" s="22"/>
    </row>
    <row r="203" spans="1:2" x14ac:dyDescent="0.3">
      <c r="A203" s="20"/>
      <c r="B203" s="22"/>
    </row>
    <row r="204" spans="1:2" x14ac:dyDescent="0.3">
      <c r="A204" s="20"/>
      <c r="B204" s="22"/>
    </row>
    <row r="205" spans="1:2" x14ac:dyDescent="0.3">
      <c r="A205" s="20"/>
      <c r="B205" s="22"/>
    </row>
    <row r="206" spans="1:2" x14ac:dyDescent="0.3">
      <c r="A206" s="20"/>
      <c r="B206" s="22"/>
    </row>
    <row r="207" spans="1:2" x14ac:dyDescent="0.3">
      <c r="A207" s="20"/>
      <c r="B207" s="22"/>
    </row>
    <row r="208" spans="1:2" x14ac:dyDescent="0.3">
      <c r="A208" s="20"/>
      <c r="B208" s="22"/>
    </row>
    <row r="209" spans="1:2" x14ac:dyDescent="0.3">
      <c r="A209" s="20"/>
      <c r="B209" s="22"/>
    </row>
    <row r="210" spans="1:2" x14ac:dyDescent="0.3">
      <c r="A210" s="20"/>
      <c r="B210" s="22"/>
    </row>
    <row r="211" spans="1:2" x14ac:dyDescent="0.3">
      <c r="A211" s="20"/>
      <c r="B211" s="22"/>
    </row>
    <row r="212" spans="1:2" x14ac:dyDescent="0.3">
      <c r="A212" s="20"/>
      <c r="B212" s="22"/>
    </row>
    <row r="213" spans="1:2" x14ac:dyDescent="0.3">
      <c r="A213" s="20"/>
      <c r="B213" s="22"/>
    </row>
    <row r="214" spans="1:2" x14ac:dyDescent="0.3">
      <c r="A214" s="20"/>
      <c r="B214" s="22"/>
    </row>
    <row r="215" spans="1:2" x14ac:dyDescent="0.3">
      <c r="A215" s="20"/>
      <c r="B215" s="22"/>
    </row>
    <row r="216" spans="1:2" x14ac:dyDescent="0.3">
      <c r="A216" s="20"/>
      <c r="B216" s="22"/>
    </row>
    <row r="217" spans="1:2" x14ac:dyDescent="0.3">
      <c r="A217" s="20"/>
      <c r="B217" s="22"/>
    </row>
    <row r="218" spans="1:2" x14ac:dyDescent="0.3">
      <c r="A218" s="20"/>
      <c r="B218" s="22"/>
    </row>
    <row r="219" spans="1:2" x14ac:dyDescent="0.3">
      <c r="A219" s="20"/>
      <c r="B219" s="22"/>
    </row>
    <row r="220" spans="1:2" x14ac:dyDescent="0.3">
      <c r="A220" s="20"/>
      <c r="B220" s="22"/>
    </row>
    <row r="221" spans="1:2" x14ac:dyDescent="0.3">
      <c r="A221" s="20"/>
      <c r="B221" s="22"/>
    </row>
    <row r="222" spans="1:2" x14ac:dyDescent="0.3">
      <c r="A222" s="20"/>
      <c r="B222" s="22"/>
    </row>
    <row r="223" spans="1:2" x14ac:dyDescent="0.3">
      <c r="A223" s="20"/>
      <c r="B223" s="22"/>
    </row>
    <row r="224" spans="1:2" x14ac:dyDescent="0.3">
      <c r="A224" s="20"/>
      <c r="B224" s="22"/>
    </row>
    <row r="225" spans="1:2" x14ac:dyDescent="0.3">
      <c r="A225" s="20"/>
      <c r="B225" s="22"/>
    </row>
    <row r="226" spans="1:2" x14ac:dyDescent="0.3">
      <c r="A226" s="20"/>
      <c r="B226" s="22"/>
    </row>
    <row r="227" spans="1:2" x14ac:dyDescent="0.3">
      <c r="A227" s="20"/>
      <c r="B227" s="22"/>
    </row>
    <row r="228" spans="1:2" x14ac:dyDescent="0.3">
      <c r="A228" s="20"/>
      <c r="B228" s="22"/>
    </row>
    <row r="229" spans="1:2" x14ac:dyDescent="0.3">
      <c r="A229" s="20"/>
      <c r="B229" s="22"/>
    </row>
    <row r="230" spans="1:2" x14ac:dyDescent="0.3">
      <c r="A230" s="20"/>
      <c r="B230" s="22"/>
    </row>
    <row r="231" spans="1:2" x14ac:dyDescent="0.3">
      <c r="A231" s="20"/>
      <c r="B231" s="22"/>
    </row>
    <row r="232" spans="1:2" x14ac:dyDescent="0.3">
      <c r="A232" s="20"/>
      <c r="B232" s="22"/>
    </row>
    <row r="233" spans="1:2" x14ac:dyDescent="0.3">
      <c r="A233" s="20"/>
      <c r="B233" s="22"/>
    </row>
    <row r="234" spans="1:2" x14ac:dyDescent="0.3">
      <c r="A234" s="20"/>
      <c r="B234" s="22"/>
    </row>
    <row r="235" spans="1:2" x14ac:dyDescent="0.3">
      <c r="A235" s="20"/>
      <c r="B235" s="22"/>
    </row>
    <row r="236" spans="1:2" x14ac:dyDescent="0.3">
      <c r="A236" s="20"/>
      <c r="B236" s="22"/>
    </row>
    <row r="237" spans="1:2" x14ac:dyDescent="0.3">
      <c r="A237" s="20"/>
      <c r="B237" s="22"/>
    </row>
    <row r="238" spans="1:2" x14ac:dyDescent="0.3">
      <c r="A238" s="20"/>
      <c r="B238" s="22"/>
    </row>
    <row r="239" spans="1:2" x14ac:dyDescent="0.3">
      <c r="A239" s="20"/>
      <c r="B239" s="22"/>
    </row>
    <row r="240" spans="1:2" x14ac:dyDescent="0.3">
      <c r="A240" s="20"/>
      <c r="B240" s="22"/>
    </row>
    <row r="241" spans="1:2" x14ac:dyDescent="0.3">
      <c r="A241" s="20"/>
      <c r="B241" s="22"/>
    </row>
    <row r="242" spans="1:2" x14ac:dyDescent="0.3">
      <c r="A242" s="20"/>
      <c r="B242" s="22"/>
    </row>
    <row r="243" spans="1:2" x14ac:dyDescent="0.3">
      <c r="A243" s="20"/>
      <c r="B243" s="22"/>
    </row>
    <row r="244" spans="1:2" x14ac:dyDescent="0.3">
      <c r="A244" s="20"/>
      <c r="B244" s="22"/>
    </row>
    <row r="245" spans="1:2" x14ac:dyDescent="0.3">
      <c r="A245" s="20"/>
      <c r="B245" s="22"/>
    </row>
    <row r="246" spans="1:2" x14ac:dyDescent="0.3">
      <c r="A246" s="20"/>
      <c r="B246" s="22"/>
    </row>
    <row r="247" spans="1:2" x14ac:dyDescent="0.3">
      <c r="A247" s="20"/>
      <c r="B247" s="22"/>
    </row>
    <row r="248" spans="1:2" x14ac:dyDescent="0.3">
      <c r="A248" s="20"/>
      <c r="B248" s="22"/>
    </row>
    <row r="249" spans="1:2" x14ac:dyDescent="0.3">
      <c r="A249" s="20"/>
      <c r="B249" s="22"/>
    </row>
    <row r="250" spans="1:2" x14ac:dyDescent="0.3">
      <c r="A250" s="20"/>
      <c r="B250" s="22"/>
    </row>
    <row r="251" spans="1:2" x14ac:dyDescent="0.3">
      <c r="A251" s="20"/>
      <c r="B251" s="22"/>
    </row>
    <row r="252" spans="1:2" x14ac:dyDescent="0.3">
      <c r="A252" s="20"/>
      <c r="B252" s="22"/>
    </row>
    <row r="253" spans="1:2" x14ac:dyDescent="0.3">
      <c r="A253" s="20"/>
      <c r="B253" s="22"/>
    </row>
    <row r="254" spans="1:2" x14ac:dyDescent="0.3">
      <c r="B254" s="22"/>
    </row>
    <row r="255" spans="1:2" x14ac:dyDescent="0.3">
      <c r="B255" s="22"/>
    </row>
    <row r="256" spans="1:2" x14ac:dyDescent="0.3">
      <c r="B256" s="22"/>
    </row>
    <row r="257" spans="2:2" x14ac:dyDescent="0.3">
      <c r="B257" s="22"/>
    </row>
    <row r="258" spans="2:2" x14ac:dyDescent="0.3">
      <c r="B258" s="22"/>
    </row>
  </sheetData>
  <mergeCells count="4">
    <mergeCell ref="H2:I2"/>
    <mergeCell ref="B2:C2"/>
    <mergeCell ref="B7:C7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ETF Data</vt:lpstr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Бурьянская</dc:creator>
  <cp:lastModifiedBy>Анастасия Бурьянская</cp:lastModifiedBy>
  <dcterms:created xsi:type="dcterms:W3CDTF">2015-06-05T18:19:34Z</dcterms:created>
  <dcterms:modified xsi:type="dcterms:W3CDTF">2026-05-14T06:44:40Z</dcterms:modified>
</cp:coreProperties>
</file>